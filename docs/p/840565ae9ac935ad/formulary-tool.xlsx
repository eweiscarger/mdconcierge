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Your formulary" sheetId="1" r:id="rId1"/>
    <sheet name="Full formulary" sheetId="2" r:id="rId2"/>
  </sheets>
</workbook>
</file>

<file path=xl/styles.xml><?xml version="1.0" encoding="utf-8"?>
<styleSheet xmlns="http://schemas.openxmlformats.org/spreadsheetml/2006/main">
  <numFmts count="2">
    <numFmt numFmtId="164" formatCode="&quot;$&quot;#,##0.00"/>
    <numFmt numFmtId="165" formatCode="0%"/>
  </numFmts>
  <fonts count="5">
    <font>
      <sz val="11"/>
      <name val="Calibri"/>
    </font>
    <font>
      <b/>
      <sz val="11"/>
      <name val="Calibri"/>
    </font>
    <font>
      <b/>
      <sz val="11"/>
      <color rgb="FFFFFFFF"/>
      <name val="Calibri"/>
    </font>
    <font>
      <sz val="10"/>
      <color rgb="FF7A5B12"/>
      <name val="Calibri"/>
    </font>
    <font>
      <sz val="11"/>
      <color rgb="FF808080"/>
      <name val="Calibri"/>
    </font>
  </fonts>
  <fills count="5">
    <fill>
      <patternFill patternType="none"/>
    </fill>
    <fill>
      <patternFill patternType="gray125"/>
    </fill>
    <fill>
      <patternFill patternType="solid">
        <fgColor rgb="FFFFF6E3"/>
        <bgColor indexed="64"/>
      </patternFill>
    </fill>
    <fill>
      <patternFill patternType="solid">
        <fgColor rgb="FF1F3350"/>
        <bgColor indexed="64"/>
      </patternFill>
    </fill>
    <fill>
      <patternFill patternType="solid">
        <fgColor rgb="FFE8EDF4"/>
        <bgColor indexed="64"/>
      </patternFill>
    </fill>
  </fills>
  <borders count="1">
    <border>
      <left/>
      <right/>
      <top/>
      <bottom/>
      <diagonal/>
    </border>
  </borders>
  <cellStyleXfs count="1">
    <xf numFmtId="0" fontId="0" fillId="0" borderId="0"/>
  </cellStyleXfs>
  <cellXfs count="10">
    <xf numFmtId="0" fontId="0" fillId="0" borderId="0" applyFont="1" applyFill="1" applyNumberFormat="1"/>
    <xf numFmtId="0" fontId="1" fillId="0" borderId="0" applyFont="1" applyFill="1" applyNumberFormat="1"/>
    <xf numFmtId="0" fontId="2" fillId="3" borderId="0" applyFont="1" applyFill="1" applyNumberFormat="1"/>
    <xf numFmtId="164" fontId="0" fillId="0" borderId="0" applyFont="1" applyFill="1" applyNumberFormat="1"/>
    <xf numFmtId="164" fontId="0" fillId="2" borderId="0" applyFont="1" applyFill="1" applyNumberFormat="1"/>
    <xf numFmtId="0" fontId="3" fillId="2" borderId="0" applyFont="1" applyFill="1" applyNumberFormat="1" applyAlignment="1">
      <alignment wrapText="1" vertical="top"/>
    </xf>
    <xf numFmtId="0" fontId="1" fillId="4" borderId="0" applyFont="1" applyFill="1" applyNumberFormat="1"/>
    <xf numFmtId="0" fontId="0" fillId="2" borderId="0" applyFont="1" applyFill="1" applyNumberFormat="1" applyAlignment="1">
      <alignment wrapText="1" vertical="top"/>
    </xf>
    <xf numFmtId="165" fontId="0" fillId="0" borderId="0" applyFont="1" applyFill="1" applyNumberFormat="1"/>
    <xf numFmtId="0" fontId="4" fillId="0" borderId="0" applyFont="1" applyFill="1"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M91"/>
  <sheetViews>
    <sheetView workbookViewId="0">
      <pane ySplit="11" topLeftCell="A12" activePane="bottomLeft" state="frozen"/>
    </sheetView>
  </sheetViews>
  <sheetFormatPr defaultRowHeight="15"/>
  <cols>
    <col min="1" max="1" width="8" customWidth="1"/>
    <col min="2" max="2" width="30" customWidth="1"/>
    <col min="3" max="3" width="14" customWidth="1"/>
    <col min="4" max="4" width="20" customWidth="1"/>
    <col min="5" max="5" width="12" customWidth="1"/>
    <col min="6" max="6" width="11" customWidth="1"/>
    <col min="7" max="7" width="11" customWidth="1"/>
    <col min="8" max="8" width="12" customWidth="1"/>
    <col min="9" max="9" width="9" customWidth="1"/>
    <col min="10" max="10" width="12" customWidth="1"/>
    <col min="11" max="11" width="24" customWidth="1"/>
    <col min="12" max="12" width="12" customWidth="1"/>
    <col min="13" max="13" width="58" customWidth="1"/>
  </cols>
  <sheetData>
    <row r="1">
      <c r="A1" s="1" t="inlineStr">
        <is>
          <t xml:space="preserve">ASSUMPTIONS, edit these and every line recalculates</t>
        </is>
      </c>
    </row>
    <row r="2">
      <c r="A2" s="1" t="inlineStr">
        <is>
          <t xml:space="preserve">Practice share</t>
        </is>
      </c>
      <c r="B2" s="8">
        <v>0.65</v>
      </c>
    </row>
    <row r="3">
      <c r="A3" s="1" t="inlineStr">
        <is>
          <t xml:space="preserve">Oral collections</t>
        </is>
      </c>
      <c r="B3" s="8">
        <v>1.0</v>
      </c>
    </row>
    <row r="4">
      <c r="A4" s="1" t="inlineStr">
        <is>
          <t xml:space="preserve">Topical collections</t>
        </is>
      </c>
      <c r="B4" s="8">
        <v>1.0</v>
      </c>
    </row>
    <row r="5">
      <c r="A5" s="1" t="inlineStr">
        <is>
          <t xml:space="preserve">Dispensing fee / Rx</t>
        </is>
      </c>
      <c r="B5" s="3">
        <v>0.0</v>
      </c>
    </row>
    <row r="6">
      <c r="A6" s="1" t="inlineStr">
        <is>
          <t xml:space="preserve">Shipping / order</t>
        </is>
      </c>
      <c r="B6" s="3">
        <v>6.0</v>
      </c>
    </row>
    <row r="7">
      <c r="A7" s="1" t="inlineStr">
        <is>
          <t xml:space="preserve">Per fill across everything marked Keep</t>
        </is>
      </c>
      <c r="B7" s="3">
        <f>SUMIF(A13:A200,"Yes",J13:J200)</f>
      </c>
      <c r="D7" s="1" t="inlineStr">
        <is>
          <t xml:space="preserve">Lines kept</t>
        </is>
      </c>
      <c r="E7" s="0">
        <f>COUNTIF(A13:A200,"Yes")</f>
      </c>
    </row>
    <row r="8">
      <c r="A8" s="7" t="inlineStr">
        <is>
          <t xml:space="preserve">Shipping is charged once per order, not per medication. Several medications sent together carry one shipping fee.</t>
        </is>
      </c>
    </row>
    <row r="9">
      <c r="A9" s="7" t="inlineStr">
        <is>
          <t xml:space="preserve">Highlighted cells came from the dispensing pharmacist. Annotations, substitutions and quantity changes are his.</t>
        </is>
      </c>
    </row>
    <row r="10">
      <c r="A10" s="7" t="inlineStr">
        <is>
          <t xml:space="preserve">Set Keep to No to drop a line. To add one, copy its row from the Full formulary sheet and paste it in below.</t>
        </is>
      </c>
    </row>
    <row r="11"/>
    <row r="12">
      <c r="A12" s="2" t="inlineStr">
        <is>
          <t xml:space="preserve">Keep</t>
        </is>
      </c>
      <c r="B12" s="2" t="inlineStr">
        <is>
          <t xml:space="preserve">Medication</t>
        </is>
      </c>
      <c r="C12" s="2" t="inlineStr">
        <is>
          <t xml:space="preserve">Brand</t>
        </is>
      </c>
      <c r="D12" s="2" t="inlineStr">
        <is>
          <t xml:space="preserve">Strength</t>
        </is>
      </c>
      <c r="E12" s="2" t="inlineStr">
        <is>
          <t xml:space="preserve">Size</t>
        </is>
      </c>
      <c r="F12" s="2" t="inlineStr">
        <is>
          <t xml:space="preserve">Cost</t>
        </is>
      </c>
      <c r="G12" s="2" t="inlineStr">
        <is>
          <t xml:space="preserve">AWP</t>
        </is>
      </c>
      <c r="H12" s="2" t="inlineStr">
        <is>
          <t xml:space="preserve">PA fee</t>
        </is>
      </c>
      <c r="I12" s="2" t="inlineStr">
        <is>
          <t xml:space="preserve">Ship</t>
        </is>
      </c>
      <c r="J12" s="2" t="inlineStr">
        <is>
          <t xml:space="preserve">Per fill</t>
        </is>
      </c>
      <c r="K12" s="2" t="inlineStr">
        <is>
          <t xml:space="preserve">Status</t>
        </is>
      </c>
      <c r="L12" s="2" t="inlineStr">
        <is>
          <t xml:space="preserve">Source</t>
        </is>
      </c>
      <c r="M12" s="2" t="inlineStr">
        <is>
          <t xml:space="preserve">Note</t>
        </is>
      </c>
    </row>
    <row r="13">
      <c r="A13" s="0" t="inlineStr">
        <is>
          <t xml:space="preserve">Yes</t>
        </is>
      </c>
      <c r="B13" s="0" t="inlineStr">
        <is>
          <t xml:space="preserve">Ibuprofen</t>
        </is>
      </c>
      <c r="C13" s="0" t="inlineStr">
        <is>
          <t xml:space="preserve">Motrin</t>
        </is>
      </c>
      <c r="D13" s="0" t="inlineStr">
        <is>
          <t xml:space="preserve">800mg</t>
        </is>
      </c>
      <c r="E13" s="0" t="inlineStr">
        <is>
          <t xml:space="preserve">90</t>
        </is>
      </c>
      <c r="F13" s="3">
        <v>8.99</v>
      </c>
      <c r="G13" s="3">
        <v>72.0</v>
      </c>
      <c r="H13" s="3">
        <f>ROUND(G13*1.1,2)</f>
      </c>
      <c r="I13" s="3">
        <f>$B$6</f>
      </c>
      <c r="J13" s="3">
        <f>ROUND((H13*IF(FALSE,$B$4,$B$3)-F13-$B$5-$B$6)*$B$2,2)</f>
      </c>
      <c r="K13" s="0" t="inlineStr">
        <is>
          <t xml:space="preserve">Priced</t>
        </is>
      </c>
    </row>
    <row r="14">
      <c r="A14" s="0" t="inlineStr">
        <is>
          <t xml:space="preserve">Yes</t>
        </is>
      </c>
      <c r="B14" s="0" t="inlineStr">
        <is>
          <t xml:space="preserve">Ibuprofen/famotidine</t>
        </is>
      </c>
      <c r="C14" s="0" t="inlineStr">
        <is>
          <t xml:space="preserve">Duexis</t>
        </is>
      </c>
      <c r="D14" s="0" t="inlineStr">
        <is>
          <t xml:space="preserve">800/26.6mg</t>
        </is>
      </c>
      <c r="E14" s="0" t="inlineStr">
        <is>
          <t xml:space="preserve">90</t>
        </is>
      </c>
      <c r="F14" s="3">
        <v>87.28</v>
      </c>
      <c r="G14" s="3">
        <v>998.1</v>
      </c>
      <c r="H14" s="3">
        <f>ROUND(G14*1.1,2)</f>
      </c>
      <c r="I14" s="3">
        <f>$B$6</f>
      </c>
      <c r="J14" s="3">
        <f>ROUND((H14*IF(FALSE,$B$4,$B$3)-F14-$B$5-$B$6)*$B$2,2)</f>
      </c>
      <c r="K14" s="0" t="inlineStr">
        <is>
          <t xml:space="preserve">Priced</t>
        </is>
      </c>
    </row>
    <row r="15">
      <c r="A15" s="0" t="inlineStr">
        <is>
          <t xml:space="preserve">Yes</t>
        </is>
      </c>
      <c r="B15" s="0" t="inlineStr">
        <is>
          <t xml:space="preserve">Celecoxib</t>
        </is>
      </c>
      <c r="C15" s="0" t="inlineStr">
        <is>
          <t xml:space="preserve">Celebrex</t>
        </is>
      </c>
      <c r="D15" s="0" t="inlineStr">
        <is>
          <t xml:space="preserve">200mg</t>
        </is>
      </c>
      <c r="E15" s="0" t="inlineStr">
        <is>
          <t xml:space="preserve">30</t>
        </is>
      </c>
      <c r="F15" s="3">
        <v>7.99</v>
      </c>
      <c r="G15" s="3">
        <v>234.0</v>
      </c>
      <c r="H15" s="3">
        <f>ROUND(G15*1.1,2)</f>
      </c>
      <c r="I15" s="3">
        <f>$B$6</f>
      </c>
      <c r="J15" s="3">
        <f>ROUND((H15*IF(FALSE,$B$4,$B$3)-F15-$B$5-$B$6)*$B$2,2)</f>
      </c>
      <c r="K15" s="0" t="inlineStr">
        <is>
          <t xml:space="preserve">Priced</t>
        </is>
      </c>
    </row>
    <row r="16">
      <c r="A16" s="0" t="inlineStr">
        <is>
          <t xml:space="preserve">Yes</t>
        </is>
      </c>
      <c r="B16" s="0" t="inlineStr">
        <is>
          <t xml:space="preserve">Celecoxib</t>
        </is>
      </c>
      <c r="C16" s="0" t="inlineStr">
        <is>
          <t xml:space="preserve">Celebrex</t>
        </is>
      </c>
      <c r="D16" s="0" t="inlineStr">
        <is>
          <t xml:space="preserve">200mg</t>
        </is>
      </c>
      <c r="E16" s="0" t="inlineStr">
        <is>
          <t xml:space="preserve">60</t>
        </is>
      </c>
      <c r="F16" s="3">
        <v>15.99</v>
      </c>
      <c r="G16" s="3">
        <v>454.2</v>
      </c>
      <c r="H16" s="3">
        <f>ROUND(G16*1.1,2)</f>
      </c>
      <c r="I16" s="3">
        <f>$B$6</f>
      </c>
      <c r="J16" s="3">
        <f>ROUND((H16*IF(FALSE,$B$4,$B$3)-F16-$B$5-$B$6)*$B$2,2)</f>
      </c>
      <c r="K16" s="0" t="inlineStr">
        <is>
          <t xml:space="preserve">Priced</t>
        </is>
      </c>
    </row>
    <row r="17">
      <c r="A17" s="0" t="inlineStr">
        <is>
          <t xml:space="preserve">Yes</t>
        </is>
      </c>
      <c r="B17" s="0" t="inlineStr">
        <is>
          <t xml:space="preserve">Meloxicam</t>
        </is>
      </c>
      <c r="C17" s="0" t="inlineStr">
        <is>
          <t xml:space="preserve">Mobic</t>
        </is>
      </c>
      <c r="D17" s="0" t="inlineStr">
        <is>
          <t xml:space="preserve">7.5mg</t>
        </is>
      </c>
      <c r="E17" s="0" t="inlineStr">
        <is>
          <t xml:space="preserve">30</t>
        </is>
      </c>
      <c r="F17" s="3">
        <v>54.5</v>
      </c>
      <c r="G17" s="3">
        <v>412.44</v>
      </c>
      <c r="H17" s="3">
        <f>ROUND(G17*1.1,2)</f>
      </c>
      <c r="I17" s="3">
        <f>$B$6</f>
      </c>
      <c r="J17" s="3">
        <f>ROUND((H17*IF(FALSE,$B$4,$B$3)-F17-$B$5-$B$6)*$B$2,2)</f>
      </c>
      <c r="K17" s="0" t="inlineStr">
        <is>
          <t xml:space="preserve">Repriced by pharmacist</t>
        </is>
      </c>
    </row>
    <row r="18">
      <c r="A18" s="0" t="inlineStr">
        <is>
          <t xml:space="preserve">Yes</t>
        </is>
      </c>
      <c r="B18" s="0" t="inlineStr">
        <is>
          <t xml:space="preserve">Meloxicam</t>
        </is>
      </c>
      <c r="C18" s="0" t="inlineStr">
        <is>
          <t xml:space="preserve">Mobic</t>
        </is>
      </c>
      <c r="D18" s="0" t="inlineStr">
        <is>
          <t xml:space="preserve">7.5mg</t>
        </is>
      </c>
      <c r="E18" s="0" t="inlineStr">
        <is>
          <t xml:space="preserve">60</t>
        </is>
      </c>
      <c r="F18" s="3">
        <v>1.99</v>
      </c>
      <c r="G18" s="3">
        <v>190.2</v>
      </c>
      <c r="H18" s="3">
        <f>ROUND(G18*1.1,2)</f>
      </c>
      <c r="I18" s="3">
        <f>$B$6</f>
      </c>
      <c r="J18" s="3">
        <f>ROUND((H18*IF(FALSE,$B$4,$B$3)-F18-$B$5-$B$6)*$B$2,2)</f>
      </c>
      <c r="K18" s="0" t="inlineStr">
        <is>
          <t xml:space="preserve">Priced</t>
        </is>
      </c>
    </row>
    <row r="19">
      <c r="A19" s="0" t="inlineStr">
        <is>
          <t xml:space="preserve">Yes</t>
        </is>
      </c>
      <c r="B19" s="0" t="inlineStr">
        <is>
          <t xml:space="preserve">Meloxicam</t>
        </is>
      </c>
      <c r="C19" s="0" t="inlineStr">
        <is>
          <t xml:space="preserve">Mobic</t>
        </is>
      </c>
      <c r="D19" s="0" t="inlineStr">
        <is>
          <t xml:space="preserve">15mg</t>
        </is>
      </c>
      <c r="E19" s="0" t="inlineStr">
        <is>
          <t xml:space="preserve">30</t>
        </is>
      </c>
      <c r="F19" s="3">
        <v>1.49</v>
      </c>
      <c r="G19" s="3">
        <v>145.35</v>
      </c>
      <c r="H19" s="3">
        <f>ROUND(G19*1.1,2)</f>
      </c>
      <c r="I19" s="3">
        <f>$B$6</f>
      </c>
      <c r="J19" s="3">
        <f>ROUND((H19*IF(FALSE,$B$4,$B$3)-F19-$B$5-$B$6)*$B$2,2)</f>
      </c>
      <c r="K19" s="0" t="inlineStr">
        <is>
          <t xml:space="preserve">Priced</t>
        </is>
      </c>
    </row>
    <row r="20">
      <c r="A20" s="0" t="inlineStr">
        <is>
          <t xml:space="preserve">Yes</t>
        </is>
      </c>
      <c r="B20" s="0" t="inlineStr">
        <is>
          <t xml:space="preserve">Naproxen</t>
        </is>
      </c>
      <c r="D20" s="0" t="inlineStr">
        <is>
          <t xml:space="preserve">550mg</t>
        </is>
      </c>
      <c r="E20" s="0" t="inlineStr">
        <is>
          <t xml:space="preserve">60</t>
        </is>
      </c>
      <c r="F20" s="3">
        <v>26.76</v>
      </c>
      <c r="G20" s="3">
        <v>352.67</v>
      </c>
      <c r="H20" s="3">
        <f>ROUND(G20*1.1,2)</f>
      </c>
      <c r="I20" s="3">
        <f>$B$6</f>
      </c>
      <c r="J20" s="3">
        <f>ROUND((H20*IF(FALSE,$B$4,$B$3)-F20-$B$5-$B$6)*$B$2,2)</f>
      </c>
      <c r="K20" s="0" t="inlineStr">
        <is>
          <t xml:space="preserve">Priced</t>
        </is>
      </c>
    </row>
    <row r="21">
      <c r="A21" s="6" t="inlineStr">
        <is>
          <t xml:space="preserve">PAIN</t>
        </is>
      </c>
      <c r="B21" s="6"/>
      <c r="C21" s="6"/>
      <c r="D21" s="6"/>
      <c r="E21" s="6"/>
      <c r="F21" s="6"/>
      <c r="G21" s="6"/>
      <c r="H21" s="6"/>
      <c r="I21" s="6"/>
      <c r="J21" s="6"/>
      <c r="K21" s="6"/>
      <c r="L21" s="6"/>
      <c r="M21" s="6"/>
    </row>
    <row r="22">
      <c r="A22" s="0" t="inlineStr">
        <is>
          <t xml:space="preserve">Yes</t>
        </is>
      </c>
      <c r="B22" s="0" t="inlineStr">
        <is>
          <t xml:space="preserve">Tramadol</t>
        </is>
      </c>
      <c r="C22" s="0" t="inlineStr">
        <is>
          <t xml:space="preserve">Ultram</t>
        </is>
      </c>
      <c r="D22" s="0" t="inlineStr">
        <is>
          <t xml:space="preserve">50mg</t>
        </is>
      </c>
      <c r="E22" s="0" t="inlineStr">
        <is>
          <t xml:space="preserve">60</t>
        </is>
      </c>
      <c r="F22" s="3">
        <v>2.49</v>
      </c>
      <c r="G22" s="3">
        <v>50.4</v>
      </c>
      <c r="H22" s="3">
        <f>ROUND(G22*1.1,2)</f>
      </c>
      <c r="I22" s="3">
        <f>$B$6</f>
      </c>
      <c r="J22" s="3">
        <f>ROUND((H22*IF(FALSE,$B$4,$B$3)-F22-$B$5-$B$6)*$B$2,2)</f>
      </c>
      <c r="K22" s="0" t="inlineStr">
        <is>
          <t xml:space="preserve">Priced</t>
        </is>
      </c>
    </row>
    <row r="23">
      <c r="A23" s="0" t="inlineStr">
        <is>
          <t xml:space="preserve">Yes</t>
        </is>
      </c>
      <c r="B23" s="0" t="inlineStr">
        <is>
          <t xml:space="preserve">Tramadol</t>
        </is>
      </c>
      <c r="C23" s="0" t="inlineStr">
        <is>
          <t xml:space="preserve">Ultram</t>
        </is>
      </c>
      <c r="D23" s="0" t="inlineStr">
        <is>
          <t xml:space="preserve">50mg</t>
        </is>
      </c>
      <c r="E23" s="0" t="inlineStr">
        <is>
          <t xml:space="preserve">90</t>
        </is>
      </c>
      <c r="F23" s="3">
        <v>13.5</v>
      </c>
      <c r="G23" s="3">
        <v>82.08</v>
      </c>
      <c r="H23" s="3">
        <f>ROUND(G23*1.1,2)</f>
      </c>
      <c r="I23" s="3">
        <f>$B$6</f>
      </c>
      <c r="J23" s="3">
        <f>ROUND((H23*IF(FALSE,$B$4,$B$3)-F23-$B$5-$B$6)*$B$2,2)</f>
      </c>
      <c r="K23" s="0" t="inlineStr">
        <is>
          <t xml:space="preserve">Repriced by pharmacist</t>
        </is>
      </c>
    </row>
    <row r="24">
      <c r="A24" s="0" t="inlineStr">
        <is>
          <t xml:space="preserve">Yes</t>
        </is>
      </c>
      <c r="B24" s="0" t="inlineStr">
        <is>
          <t xml:space="preserve">Tramadol ER</t>
        </is>
      </c>
      <c r="C24" s="0" t="inlineStr">
        <is>
          <t xml:space="preserve">Ultram ER</t>
        </is>
      </c>
      <c r="D24" s="0" t="inlineStr">
        <is>
          <t xml:space="preserve">100mg</t>
        </is>
      </c>
      <c r="E24" s="0" t="inlineStr">
        <is>
          <t xml:space="preserve">30</t>
        </is>
      </c>
      <c r="F24" s="3">
        <v>34.95</v>
      </c>
      <c r="G24" s="3">
        <v>109.2</v>
      </c>
      <c r="H24" s="3">
        <f>ROUND(G24*1.1,2)</f>
      </c>
      <c r="I24" s="3">
        <f>$B$6</f>
      </c>
      <c r="J24" s="3">
        <f>ROUND((H24*IF(FALSE,$B$4,$B$3)-F24-$B$5-$B$6)*$B$2,2)</f>
      </c>
      <c r="K24" s="0" t="inlineStr">
        <is>
          <t xml:space="preserve">Priced</t>
        </is>
      </c>
    </row>
    <row r="25">
      <c r="A25" s="0" t="inlineStr">
        <is>
          <t xml:space="preserve">Yes</t>
        </is>
      </c>
      <c r="B25" s="0" t="inlineStr">
        <is>
          <t xml:space="preserve">Tramadol ER</t>
        </is>
      </c>
      <c r="C25" s="0" t="inlineStr">
        <is>
          <t xml:space="preserve">Ultram ER</t>
        </is>
      </c>
      <c r="D25" s="0" t="inlineStr">
        <is>
          <t xml:space="preserve">200mg</t>
        </is>
      </c>
      <c r="E25" s="0" t="inlineStr">
        <is>
          <t xml:space="preserve">30</t>
        </is>
      </c>
      <c r="F25" s="3">
        <v>56.99</v>
      </c>
      <c r="G25" s="3">
        <v>180.69</v>
      </c>
      <c r="H25" s="3">
        <f>ROUND(G25*1.1,2)</f>
      </c>
      <c r="I25" s="3">
        <f>$B$6</f>
      </c>
      <c r="J25" s="3">
        <f>ROUND((H25*IF(FALSE,$B$4,$B$3)-F25-$B$5-$B$6)*$B$2,2)</f>
      </c>
      <c r="K25" s="0" t="inlineStr">
        <is>
          <t xml:space="preserve">Priced</t>
        </is>
      </c>
    </row>
    <row r="26">
      <c r="A26" s="0" t="inlineStr">
        <is>
          <t xml:space="preserve">Yes</t>
        </is>
      </c>
      <c r="B26" s="0" t="inlineStr">
        <is>
          <t xml:space="preserve">Tramadol ER</t>
        </is>
      </c>
      <c r="D26" s="0" t="inlineStr">
        <is>
          <t xml:space="preserve">300mg</t>
        </is>
      </c>
      <c r="E26" s="0" t="inlineStr">
        <is>
          <t xml:space="preserve">30</t>
        </is>
      </c>
      <c r="F26" s="3">
        <v>105.99</v>
      </c>
      <c r="G26" s="3">
        <v>334.65</v>
      </c>
      <c r="H26" s="3">
        <f>ROUND(G26*1.1,2)</f>
      </c>
      <c r="I26" s="3">
        <f>$B$6</f>
      </c>
      <c r="J26" s="3">
        <f>ROUND((H26*IF(FALSE,$B$4,$B$3)-F26-$B$5-$B$6)*$B$2,2)</f>
      </c>
      <c r="K26" s="0" t="inlineStr">
        <is>
          <t xml:space="preserve">Priced</t>
        </is>
      </c>
    </row>
    <row r="27">
      <c r="A27" s="6" t="inlineStr">
        <is>
          <t xml:space="preserve">STOOL SOFTENERS</t>
        </is>
      </c>
      <c r="B27" s="6"/>
      <c r="C27" s="6"/>
      <c r="D27" s="6"/>
      <c r="E27" s="6"/>
      <c r="F27" s="6"/>
      <c r="G27" s="6"/>
      <c r="H27" s="6"/>
      <c r="I27" s="6"/>
      <c r="J27" s="6"/>
      <c r="K27" s="6"/>
      <c r="L27" s="6"/>
      <c r="M27" s="6"/>
    </row>
    <row r="28">
      <c r="A28" s="0" t="inlineStr">
        <is>
          <t xml:space="preserve">Yes</t>
        </is>
      </c>
      <c r="B28" s="0" t="inlineStr">
        <is>
          <t xml:space="preserve">Docusate</t>
        </is>
      </c>
      <c r="D28" s="0" t="inlineStr">
        <is>
          <t xml:space="preserve">100mg</t>
        </is>
      </c>
      <c r="E28" s="0" t="inlineStr">
        <is>
          <t xml:space="preserve">60</t>
        </is>
      </c>
      <c r="F28" s="3">
        <v>0.81</v>
      </c>
      <c r="G28" s="3">
        <v>2.48</v>
      </c>
      <c r="H28" s="3">
        <f>ROUND(G28*1.1,2)</f>
      </c>
      <c r="I28" s="3">
        <f>$B$6</f>
      </c>
      <c r="J28" s="3">
        <f>ROUND((H28*IF(FALSE,$B$4,$B$3)-F28-$B$5-$B$6)*$B$2,2)</f>
      </c>
      <c r="K28" s="0" t="inlineStr">
        <is>
          <t xml:space="preserve">Priced</t>
        </is>
      </c>
    </row>
    <row r="29">
      <c r="A29" s="0" t="inlineStr">
        <is>
          <t xml:space="preserve">Yes</t>
        </is>
      </c>
      <c r="B29" s="0" t="inlineStr">
        <is>
          <t xml:space="preserve">Laxacin (docusate/senna)</t>
        </is>
      </c>
      <c r="C29" s="0" t="inlineStr">
        <is>
          <t xml:space="preserve">Laxacin</t>
        </is>
      </c>
      <c r="D29" s="0" t="inlineStr">
        <is>
          <t xml:space="preserve">50mg/8.6mg</t>
        </is>
      </c>
      <c r="E29" s="0" t="inlineStr">
        <is>
          <t xml:space="preserve">60</t>
        </is>
      </c>
      <c r="F29" s="3">
        <v>30.0</v>
      </c>
      <c r="G29" s="3">
        <v>130.02</v>
      </c>
      <c r="H29" s="3">
        <f>ROUND(G29*1.1,2)</f>
      </c>
      <c r="I29" s="3">
        <f>$B$6</f>
      </c>
      <c r="J29" s="3">
        <f>ROUND((H29*IF(FALSE,$B$4,$B$3)-F29-$B$5-$B$6)*$B$2,2)</f>
      </c>
      <c r="K29" s="0" t="inlineStr">
        <is>
          <t xml:space="preserve">Repriced by pharmacist</t>
        </is>
      </c>
    </row>
    <row r="30">
      <c r="A30" s="0" t="inlineStr">
        <is>
          <t xml:space="preserve">No</t>
        </is>
      </c>
      <c r="B30" s="0" t="inlineStr">
        <is>
          <t xml:space="preserve">Narcosoft</t>
        </is>
      </c>
      <c r="C30" s="0" t="inlineStr">
        <is>
          <t xml:space="preserve">Narcosoft</t>
        </is>
      </c>
      <c r="D30" s="0" t="inlineStr">
        <is>
          <t xml:space="preserve">60</t>
        </is>
      </c>
      <c r="K30" s="7" t="inlineStr">
        <is>
          <t xml:space="preserve">Not available</t>
        </is>
      </c>
      <c r="L30" s="5" t="inlineStr">
        <is>
          <t xml:space="preserve">Pharmacist</t>
        </is>
      </c>
      <c r="M30" s="5" t="inlineStr">
        <is>
          <t xml:space="preserve">Enovachem product. We are currently unable to stock it. See the alternative below.</t>
        </is>
      </c>
    </row>
    <row r="31">
      <c r="A31" s="0" t="inlineStr">
        <is>
          <t xml:space="preserve">Yes</t>
        </is>
      </c>
      <c r="B31" s="0" t="inlineStr">
        <is>
          <t xml:space="preserve">Lubiprostone (Amitiza)</t>
        </is>
      </c>
      <c r="C31" s="0" t="inlineStr">
        <is>
          <t xml:space="preserve">Amitiza</t>
        </is>
      </c>
      <c r="D31" s="0" t="inlineStr">
        <is>
          <t xml:space="preserve">24mcg</t>
        </is>
      </c>
      <c r="E31" s="0" t="inlineStr">
        <is>
          <t xml:space="preserve">60</t>
        </is>
      </c>
      <c r="F31" s="4">
        <v>47.8</v>
      </c>
      <c r="G31" s="4">
        <v>440.84</v>
      </c>
      <c r="H31" s="4">
        <f>ROUND(G31*1.1,2)</f>
      </c>
      <c r="I31" s="3">
        <f>$B$6</f>
      </c>
      <c r="J31" s="4">
        <f>ROUND((H31*IF(FALSE,$B$4,$B$3)-F31-$B$5-$B$6)*$B$2,2)</f>
      </c>
      <c r="K31" s="7" t="inlineStr">
        <is>
          <t xml:space="preserve">Added by pharmacist</t>
        </is>
      </c>
      <c r="L31" s="5" t="inlineStr">
        <is>
          <t xml:space="preserve">Pharmacist</t>
        </is>
      </c>
      <c r="M31" s="5" t="inlineStr">
        <is>
          <t xml:space="preserve">Used in the treatment of opioid induced constipation.</t>
        </is>
      </c>
    </row>
    <row r="32">
      <c r="A32" s="6" t="inlineStr">
        <is>
          <t xml:space="preserve">MUSCLE RELAXANTS</t>
        </is>
      </c>
      <c r="B32" s="6"/>
      <c r="C32" s="6"/>
      <c r="D32" s="6"/>
      <c r="E32" s="6"/>
      <c r="F32" s="6"/>
      <c r="G32" s="6"/>
      <c r="H32" s="6"/>
      <c r="I32" s="6"/>
      <c r="J32" s="6"/>
      <c r="K32" s="6"/>
      <c r="L32" s="6"/>
      <c r="M32" s="6"/>
    </row>
    <row r="33">
      <c r="A33" s="0" t="inlineStr">
        <is>
          <t xml:space="preserve">Yes</t>
        </is>
      </c>
      <c r="B33" s="0" t="inlineStr">
        <is>
          <t xml:space="preserve">Baclofen</t>
        </is>
      </c>
      <c r="D33" s="0" t="inlineStr">
        <is>
          <t xml:space="preserve">10mg</t>
        </is>
      </c>
      <c r="E33" s="0" t="inlineStr">
        <is>
          <t xml:space="preserve">60</t>
        </is>
      </c>
      <c r="F33" s="3">
        <v>59.4</v>
      </c>
      <c r="G33" s="3">
        <v>428.16</v>
      </c>
      <c r="H33" s="3">
        <f>ROUND(G33*1.1,2)</f>
      </c>
      <c r="I33" s="3">
        <f>$B$6</f>
      </c>
      <c r="J33" s="3">
        <f>ROUND((H33*IF(FALSE,$B$4,$B$3)-F33-$B$5-$B$6)*$B$2,2)</f>
      </c>
      <c r="K33" s="0" t="inlineStr">
        <is>
          <t xml:space="preserve">Priced</t>
        </is>
      </c>
    </row>
    <row r="34">
      <c r="A34" s="0" t="inlineStr">
        <is>
          <t xml:space="preserve">Yes</t>
        </is>
      </c>
      <c r="B34" s="0" t="inlineStr">
        <is>
          <t xml:space="preserve">Baclofen</t>
        </is>
      </c>
      <c r="D34" s="0" t="inlineStr">
        <is>
          <t xml:space="preserve">10mg</t>
        </is>
      </c>
      <c r="E34" s="0" t="inlineStr">
        <is>
          <t xml:space="preserve">90</t>
        </is>
      </c>
      <c r="F34" s="3">
        <v>89.1</v>
      </c>
      <c r="G34" s="3">
        <v>642.23</v>
      </c>
      <c r="H34" s="3">
        <f>ROUND(G34*1.1,2)</f>
      </c>
      <c r="I34" s="3">
        <f>$B$6</f>
      </c>
      <c r="J34" s="3">
        <f>ROUND((H34*IF(FALSE,$B$4,$B$3)-F34-$B$5-$B$6)*$B$2,2)</f>
      </c>
      <c r="K34" s="0" t="inlineStr">
        <is>
          <t xml:space="preserve">Priced</t>
        </is>
      </c>
    </row>
    <row r="35">
      <c r="A35" s="0" t="inlineStr">
        <is>
          <t xml:space="preserve">Yes</t>
        </is>
      </c>
      <c r="B35" s="0" t="inlineStr">
        <is>
          <t xml:space="preserve">Baclofen</t>
        </is>
      </c>
      <c r="C35" s="0" t="inlineStr">
        <is>
          <t xml:space="preserve">Baclofen</t>
        </is>
      </c>
      <c r="D35" s="0" t="inlineStr">
        <is>
          <t xml:space="preserve">20mg</t>
        </is>
      </c>
      <c r="E35" s="0" t="inlineStr">
        <is>
          <t xml:space="preserve">60</t>
        </is>
      </c>
      <c r="F35" s="3">
        <v>13.19</v>
      </c>
      <c r="G35" s="3">
        <v>307.8</v>
      </c>
      <c r="H35" s="3">
        <f>ROUND(G35*1.1,2)</f>
      </c>
      <c r="I35" s="3">
        <f>$B$6</f>
      </c>
      <c r="J35" s="3">
        <f>ROUND((H35*IF(FALSE,$B$4,$B$3)-F35-$B$5-$B$6)*$B$2,2)</f>
      </c>
      <c r="K35" s="0" t="inlineStr">
        <is>
          <t xml:space="preserve">Priced</t>
        </is>
      </c>
    </row>
    <row r="36">
      <c r="A36" s="0" t="inlineStr">
        <is>
          <t xml:space="preserve">Yes</t>
        </is>
      </c>
      <c r="B36" s="0" t="inlineStr">
        <is>
          <t xml:space="preserve">Baclofen</t>
        </is>
      </c>
      <c r="C36" s="0" t="inlineStr">
        <is>
          <t xml:space="preserve">Baclofen</t>
        </is>
      </c>
      <c r="D36" s="0" t="inlineStr">
        <is>
          <t xml:space="preserve">20mg</t>
        </is>
      </c>
      <c r="E36" s="0" t="inlineStr">
        <is>
          <t xml:space="preserve">90</t>
        </is>
      </c>
      <c r="F36" s="3">
        <v>31.5</v>
      </c>
      <c r="G36" s="3">
        <v>465.01</v>
      </c>
      <c r="H36" s="3">
        <f>ROUND(G36*1.1,2)</f>
      </c>
      <c r="I36" s="3">
        <f>$B$6</f>
      </c>
      <c r="J36" s="3">
        <f>ROUND((H36*IF(FALSE,$B$4,$B$3)-F36-$B$5-$B$6)*$B$2,2)</f>
      </c>
      <c r="K36" s="0" t="inlineStr">
        <is>
          <t xml:space="preserve">Repriced by pharmacist</t>
        </is>
      </c>
    </row>
    <row r="37">
      <c r="A37" s="0" t="inlineStr">
        <is>
          <t xml:space="preserve">Yes</t>
        </is>
      </c>
      <c r="B37" s="0" t="inlineStr">
        <is>
          <t xml:space="preserve">Cyclobenzaprine</t>
        </is>
      </c>
      <c r="C37" s="0" t="inlineStr">
        <is>
          <t xml:space="preserve">Flexeril</t>
        </is>
      </c>
      <c r="D37" s="0" t="inlineStr">
        <is>
          <t xml:space="preserve">10mg</t>
        </is>
      </c>
      <c r="E37" s="0" t="inlineStr">
        <is>
          <t xml:space="preserve">60</t>
        </is>
      </c>
      <c r="F37" s="3">
        <v>3.99</v>
      </c>
      <c r="G37" s="3">
        <v>98.4</v>
      </c>
      <c r="H37" s="3">
        <f>ROUND(G37*1.1,2)</f>
      </c>
      <c r="I37" s="3">
        <f>$B$6</f>
      </c>
      <c r="J37" s="3">
        <f>ROUND((H37*IF(FALSE,$B$4,$B$3)-F37-$B$5-$B$6)*$B$2,2)</f>
      </c>
      <c r="K37" s="0" t="inlineStr">
        <is>
          <t xml:space="preserve">Priced</t>
        </is>
      </c>
    </row>
    <row r="38">
      <c r="A38" s="0" t="inlineStr">
        <is>
          <t xml:space="preserve">Yes</t>
        </is>
      </c>
      <c r="B38" s="0" t="inlineStr">
        <is>
          <t xml:space="preserve">Cyclobenzaprine</t>
        </is>
      </c>
      <c r="C38" s="0" t="inlineStr">
        <is>
          <t xml:space="preserve">Flexeril</t>
        </is>
      </c>
      <c r="D38" s="0" t="inlineStr">
        <is>
          <t xml:space="preserve">10mg</t>
        </is>
      </c>
      <c r="E38" s="0" t="inlineStr">
        <is>
          <t xml:space="preserve">90</t>
        </is>
      </c>
      <c r="F38" s="3">
        <v>89.1</v>
      </c>
      <c r="G38" s="3">
        <v>542.08</v>
      </c>
      <c r="H38" s="3">
        <f>ROUND(G38*1.1,2)</f>
      </c>
      <c r="I38" s="3">
        <f>$B$6</f>
      </c>
      <c r="J38" s="3">
        <f>ROUND((H38*IF(FALSE,$B$4,$B$3)-F38-$B$5-$B$6)*$B$2,2)</f>
      </c>
      <c r="K38" s="0" t="inlineStr">
        <is>
          <t xml:space="preserve">Repriced by pharmacist</t>
        </is>
      </c>
    </row>
    <row r="39">
      <c r="A39" s="0" t="inlineStr">
        <is>
          <t xml:space="preserve">Yes</t>
        </is>
      </c>
      <c r="B39" s="0" t="inlineStr">
        <is>
          <t xml:space="preserve">Cyclobenzaprine</t>
        </is>
      </c>
      <c r="C39" s="0" t="inlineStr">
        <is>
          <t xml:space="preserve">Fexmid</t>
        </is>
      </c>
      <c r="D39" s="0" t="inlineStr">
        <is>
          <t xml:space="preserve">7.5mg</t>
        </is>
      </c>
      <c r="E39" s="0" t="inlineStr">
        <is>
          <t xml:space="preserve">30</t>
        </is>
      </c>
      <c r="F39" s="3">
        <v>24.99</v>
      </c>
      <c r="G39" s="3">
        <v>188.4</v>
      </c>
      <c r="H39" s="3">
        <f>ROUND(G39*1.1,2)</f>
      </c>
      <c r="I39" s="3">
        <f>$B$6</f>
      </c>
      <c r="J39" s="3">
        <f>ROUND((H39*IF(FALSE,$B$4,$B$3)-F39-$B$5-$B$6)*$B$2,2)</f>
      </c>
      <c r="K39" s="0" t="inlineStr">
        <is>
          <t xml:space="preserve">Priced</t>
        </is>
      </c>
    </row>
    <row r="40">
      <c r="A40" s="0" t="inlineStr">
        <is>
          <t xml:space="preserve">Yes</t>
        </is>
      </c>
      <c r="B40" s="0" t="inlineStr">
        <is>
          <t xml:space="preserve">Cyclobenzaprine</t>
        </is>
      </c>
      <c r="C40" s="0" t="inlineStr">
        <is>
          <t xml:space="preserve">Fexmid</t>
        </is>
      </c>
      <c r="D40" s="0" t="inlineStr">
        <is>
          <t xml:space="preserve">7.5mg</t>
        </is>
      </c>
      <c r="E40" s="0" t="inlineStr">
        <is>
          <t xml:space="preserve">60</t>
        </is>
      </c>
      <c r="F40" s="3">
        <v>49.99</v>
      </c>
      <c r="G40" s="3">
        <v>376.8</v>
      </c>
      <c r="H40" s="3">
        <f>ROUND(G40*1.1,2)</f>
      </c>
      <c r="I40" s="3">
        <f>$B$6</f>
      </c>
      <c r="J40" s="3">
        <f>ROUND((H40*IF(FALSE,$B$4,$B$3)-F40-$B$5-$B$6)*$B$2,2)</f>
      </c>
      <c r="K40" s="0" t="inlineStr">
        <is>
          <t xml:space="preserve">Priced</t>
        </is>
      </c>
    </row>
    <row r="41">
      <c r="A41" s="0" t="inlineStr">
        <is>
          <t xml:space="preserve">Yes</t>
        </is>
      </c>
      <c r="B41" s="0" t="inlineStr">
        <is>
          <t xml:space="preserve">Cyclobenzaprine</t>
        </is>
      </c>
      <c r="C41" s="0" t="inlineStr">
        <is>
          <t xml:space="preserve">Fexmid</t>
        </is>
      </c>
      <c r="D41" s="0" t="inlineStr">
        <is>
          <t xml:space="preserve">7.5mg</t>
        </is>
      </c>
      <c r="E41" s="0" t="inlineStr">
        <is>
          <t xml:space="preserve">90</t>
        </is>
      </c>
      <c r="F41" s="3">
        <v>74.95</v>
      </c>
      <c r="G41" s="3">
        <v>565.2</v>
      </c>
      <c r="H41" s="3">
        <f>ROUND(G41*1.1,2)</f>
      </c>
      <c r="I41" s="3">
        <f>$B$6</f>
      </c>
      <c r="J41" s="3">
        <f>ROUND((H41*IF(FALSE,$B$4,$B$3)-F41-$B$5-$B$6)*$B$2,2)</f>
      </c>
      <c r="K41" s="0" t="inlineStr">
        <is>
          <t xml:space="preserve">Priced</t>
        </is>
      </c>
    </row>
    <row r="42">
      <c r="A42" s="0" t="inlineStr">
        <is>
          <t xml:space="preserve">Yes</t>
        </is>
      </c>
      <c r="B42" s="0" t="inlineStr">
        <is>
          <t xml:space="preserve">Metaxaolone</t>
        </is>
      </c>
      <c r="D42" s="0" t="inlineStr">
        <is>
          <t xml:space="preserve">800mg</t>
        </is>
      </c>
      <c r="E42" s="0" t="inlineStr">
        <is>
          <t xml:space="preserve">90</t>
        </is>
      </c>
      <c r="F42" s="3">
        <v>72.0</v>
      </c>
      <c r="G42" s="3">
        <v>592.96</v>
      </c>
      <c r="H42" s="3">
        <f>ROUND(G42*1.1,2)</f>
      </c>
      <c r="I42" s="3">
        <f>$B$6</f>
      </c>
      <c r="J42" s="3">
        <f>ROUND((H42*IF(FALSE,$B$4,$B$3)-F42-$B$5-$B$6)*$B$2,2)</f>
      </c>
      <c r="K42" s="0" t="inlineStr">
        <is>
          <t xml:space="preserve">Priced</t>
        </is>
      </c>
    </row>
    <row r="43">
      <c r="A43" s="0" t="inlineStr">
        <is>
          <t xml:space="preserve">Yes</t>
        </is>
      </c>
      <c r="B43" s="0" t="inlineStr">
        <is>
          <t xml:space="preserve">Methocarbamol</t>
        </is>
      </c>
      <c r="C43" s="0" t="inlineStr">
        <is>
          <t xml:space="preserve">Robaxin</t>
        </is>
      </c>
      <c r="D43" s="0" t="inlineStr">
        <is>
          <t xml:space="preserve">500 Mg</t>
        </is>
      </c>
      <c r="E43" s="0" t="inlineStr">
        <is>
          <t xml:space="preserve">90</t>
        </is>
      </c>
      <c r="F43" s="3">
        <v>8.1</v>
      </c>
      <c r="G43" s="3">
        <v>47.77</v>
      </c>
      <c r="H43" s="3">
        <f>ROUND(G43*1.1,2)</f>
      </c>
      <c r="I43" s="3">
        <f>$B$6</f>
      </c>
      <c r="J43" s="3">
        <f>ROUND((H43*IF(FALSE,$B$4,$B$3)-F43-$B$5-$B$6)*$B$2,2)</f>
      </c>
      <c r="K43" s="0" t="inlineStr">
        <is>
          <t xml:space="preserve">Repriced by pharmacist</t>
        </is>
      </c>
    </row>
    <row r="44">
      <c r="A44" s="6" t="inlineStr">
        <is>
          <t xml:space="preserve">NEUROPATHIC AGENTS</t>
        </is>
      </c>
      <c r="B44" s="6"/>
      <c r="C44" s="6"/>
      <c r="D44" s="6"/>
      <c r="E44" s="6"/>
      <c r="F44" s="6"/>
      <c r="G44" s="6"/>
      <c r="H44" s="6"/>
      <c r="I44" s="6"/>
      <c r="J44" s="6"/>
      <c r="K44" s="6"/>
      <c r="L44" s="6"/>
      <c r="M44" s="6"/>
    </row>
    <row r="45">
      <c r="A45" s="0" t="inlineStr">
        <is>
          <t xml:space="preserve">Yes</t>
        </is>
      </c>
      <c r="B45" s="0" t="inlineStr">
        <is>
          <t xml:space="preserve">Duloxetine</t>
        </is>
      </c>
      <c r="C45" s="0" t="inlineStr">
        <is>
          <t xml:space="preserve">Cymbalta</t>
        </is>
      </c>
      <c r="D45" s="0" t="inlineStr">
        <is>
          <t xml:space="preserve">30mg</t>
        </is>
      </c>
      <c r="E45" s="0" t="inlineStr">
        <is>
          <t xml:space="preserve">30</t>
        </is>
      </c>
      <c r="F45" s="3">
        <v>10.99</v>
      </c>
      <c r="G45" s="3">
        <v>471.1</v>
      </c>
      <c r="H45" s="3">
        <f>ROUND(G45*1.1,2)</f>
      </c>
      <c r="I45" s="3">
        <f>$B$6</f>
      </c>
      <c r="J45" s="3">
        <f>ROUND((H45*IF(FALSE,$B$4,$B$3)-F45-$B$5-$B$6)*$B$2,2)</f>
      </c>
      <c r="K45" s="0" t="inlineStr">
        <is>
          <t xml:space="preserve">Priced</t>
        </is>
      </c>
    </row>
    <row r="46">
      <c r="A46" s="0" t="inlineStr">
        <is>
          <t xml:space="preserve">Yes</t>
        </is>
      </c>
      <c r="B46" s="0" t="inlineStr">
        <is>
          <t xml:space="preserve">Duloxetine</t>
        </is>
      </c>
      <c r="C46" s="0" t="inlineStr">
        <is>
          <t xml:space="preserve">Cymbalta</t>
        </is>
      </c>
      <c r="D46" s="0" t="inlineStr">
        <is>
          <t xml:space="preserve">30mg</t>
        </is>
      </c>
      <c r="E46" s="0" t="inlineStr">
        <is>
          <t xml:space="preserve">60</t>
        </is>
      </c>
      <c r="F46" s="3">
        <v>10.99</v>
      </c>
      <c r="G46" s="3">
        <v>471.1</v>
      </c>
      <c r="H46" s="3">
        <f>ROUND(G46*1.1,2)</f>
      </c>
      <c r="I46" s="3">
        <f>$B$6</f>
      </c>
      <c r="J46" s="3">
        <f>ROUND((H46*IF(FALSE,$B$4,$B$3)-F46-$B$5-$B$6)*$B$2,2)</f>
      </c>
      <c r="K46" s="0" t="inlineStr">
        <is>
          <t xml:space="preserve">Priced</t>
        </is>
      </c>
    </row>
    <row r="47">
      <c r="A47" s="0" t="inlineStr">
        <is>
          <t xml:space="preserve">Yes</t>
        </is>
      </c>
      <c r="B47" s="0" t="inlineStr">
        <is>
          <t xml:space="preserve">Duloxetine</t>
        </is>
      </c>
      <c r="C47" s="0" t="inlineStr">
        <is>
          <t xml:space="preserve">Cymbalta</t>
        </is>
      </c>
      <c r="D47" s="0" t="inlineStr">
        <is>
          <t xml:space="preserve">60mg</t>
        </is>
      </c>
      <c r="E47" s="0" t="inlineStr">
        <is>
          <t xml:space="preserve">30</t>
        </is>
      </c>
      <c r="F47" s="3">
        <v>5.49</v>
      </c>
      <c r="G47" s="3">
        <v>235.55</v>
      </c>
      <c r="H47" s="3">
        <f>ROUND(G47*1.1,2)</f>
      </c>
      <c r="I47" s="3">
        <f>$B$6</f>
      </c>
      <c r="J47" s="3">
        <f>ROUND((H47*IF(FALSE,$B$4,$B$3)-F47-$B$5-$B$6)*$B$2,2)</f>
      </c>
      <c r="K47" s="0" t="inlineStr">
        <is>
          <t xml:space="preserve">Priced</t>
        </is>
      </c>
    </row>
    <row r="48">
      <c r="A48" s="0" t="inlineStr">
        <is>
          <t xml:space="preserve">Yes</t>
        </is>
      </c>
      <c r="B48" s="0" t="inlineStr">
        <is>
          <t xml:space="preserve">Duloxetine</t>
        </is>
      </c>
      <c r="C48" s="0" t="inlineStr">
        <is>
          <t xml:space="preserve">Cymbalta</t>
        </is>
      </c>
      <c r="D48" s="0" t="inlineStr">
        <is>
          <t xml:space="preserve">60mg</t>
        </is>
      </c>
      <c r="E48" s="0" t="inlineStr">
        <is>
          <t xml:space="preserve">60</t>
        </is>
      </c>
      <c r="F48" s="3">
        <v>5.49</v>
      </c>
      <c r="G48" s="3">
        <v>235.55</v>
      </c>
      <c r="H48" s="3">
        <f>ROUND(G48*1.1,2)</f>
      </c>
      <c r="I48" s="3">
        <f>$B$6</f>
      </c>
      <c r="J48" s="3">
        <f>ROUND((H48*IF(FALSE,$B$4,$B$3)-F48-$B$5-$B$6)*$B$2,2)</f>
      </c>
      <c r="K48" s="0" t="inlineStr">
        <is>
          <t xml:space="preserve">Priced</t>
        </is>
      </c>
    </row>
    <row r="49">
      <c r="A49" s="0" t="inlineStr">
        <is>
          <t xml:space="preserve">Yes</t>
        </is>
      </c>
      <c r="B49" s="0" t="inlineStr">
        <is>
          <t xml:space="preserve">Gabapentin</t>
        </is>
      </c>
      <c r="C49" s="0" t="inlineStr">
        <is>
          <t xml:space="preserve">Neurontin</t>
        </is>
      </c>
      <c r="D49" s="0" t="inlineStr">
        <is>
          <t xml:space="preserve">100mg</t>
        </is>
      </c>
      <c r="E49" s="0" t="inlineStr">
        <is>
          <t xml:space="preserve">90</t>
        </is>
      </c>
      <c r="F49" s="3">
        <v>5.39</v>
      </c>
      <c r="G49" s="3">
        <v>47.7</v>
      </c>
      <c r="H49" s="3">
        <f>ROUND(G49*1.1,2)</f>
      </c>
      <c r="I49" s="3">
        <f>$B$6</f>
      </c>
      <c r="J49" s="3">
        <f>ROUND((H49*IF(FALSE,$B$4,$B$3)-F49-$B$5-$B$6)*$B$2,2)</f>
      </c>
      <c r="K49" s="0" t="inlineStr">
        <is>
          <t xml:space="preserve">Priced</t>
        </is>
      </c>
    </row>
    <row r="50">
      <c r="A50" s="0" t="inlineStr">
        <is>
          <t xml:space="preserve">Yes</t>
        </is>
      </c>
      <c r="B50" s="0" t="inlineStr">
        <is>
          <t xml:space="preserve">Gabapentin</t>
        </is>
      </c>
      <c r="C50" s="0" t="inlineStr">
        <is>
          <t xml:space="preserve">Neurontin</t>
        </is>
      </c>
      <c r="D50" s="0" t="inlineStr">
        <is>
          <t xml:space="preserve">300mg</t>
        </is>
      </c>
      <c r="E50" s="0" t="inlineStr">
        <is>
          <t xml:space="preserve">60</t>
        </is>
      </c>
      <c r="F50" s="3">
        <v>10.8</v>
      </c>
      <c r="G50" s="3">
        <v>87.85</v>
      </c>
      <c r="H50" s="3">
        <f>ROUND(G50*1.1,2)</f>
      </c>
      <c r="I50" s="3">
        <f>$B$6</f>
      </c>
      <c r="J50" s="3">
        <f>ROUND((H50*IF(FALSE,$B$4,$B$3)-F50-$B$5-$B$6)*$B$2,2)</f>
      </c>
      <c r="K50" s="0" t="inlineStr">
        <is>
          <t xml:space="preserve">Repriced by pharmacist</t>
        </is>
      </c>
    </row>
    <row r="51">
      <c r="A51" s="0" t="inlineStr">
        <is>
          <t xml:space="preserve">Yes</t>
        </is>
      </c>
      <c r="B51" s="0" t="inlineStr">
        <is>
          <t xml:space="preserve">Gabapentin</t>
        </is>
      </c>
      <c r="C51" s="0" t="inlineStr">
        <is>
          <t xml:space="preserve">Neurontin</t>
        </is>
      </c>
      <c r="D51" s="0" t="inlineStr">
        <is>
          <t xml:space="preserve">300 mg</t>
        </is>
      </c>
      <c r="E51" s="0" t="inlineStr">
        <is>
          <t xml:space="preserve">90</t>
        </is>
      </c>
      <c r="F51" s="3">
        <v>13.79</v>
      </c>
      <c r="G51" s="3">
        <v>119.76</v>
      </c>
      <c r="H51" s="3">
        <f>ROUND(G51*1.1,2)</f>
      </c>
      <c r="I51" s="3">
        <f>$B$6</f>
      </c>
      <c r="J51" s="3">
        <f>ROUND((H51*IF(FALSE,$B$4,$B$3)-F51-$B$5-$B$6)*$B$2,2)</f>
      </c>
      <c r="K51" s="0" t="inlineStr">
        <is>
          <t xml:space="preserve">Priced</t>
        </is>
      </c>
    </row>
    <row r="52">
      <c r="A52" s="0" t="inlineStr">
        <is>
          <t xml:space="preserve">Yes</t>
        </is>
      </c>
      <c r="B52" s="0" t="inlineStr">
        <is>
          <t xml:space="preserve">Gabapentin</t>
        </is>
      </c>
      <c r="D52" s="0" t="inlineStr">
        <is>
          <t xml:space="preserve">400mg</t>
        </is>
      </c>
      <c r="E52" s="0" t="inlineStr">
        <is>
          <t xml:space="preserve">90</t>
        </is>
      </c>
      <c r="F52" s="3">
        <v>19.44</v>
      </c>
      <c r="G52" s="3">
        <v>159.04</v>
      </c>
      <c r="H52" s="3">
        <f>ROUND(G52*1.1,2)</f>
      </c>
      <c r="I52" s="3">
        <f>$B$6</f>
      </c>
      <c r="J52" s="3">
        <f>ROUND((H52*IF(FALSE,$B$4,$B$3)-F52-$B$5-$B$6)*$B$2,2)</f>
      </c>
      <c r="K52" s="0" t="inlineStr">
        <is>
          <t xml:space="preserve">Priced</t>
        </is>
      </c>
    </row>
    <row r="53">
      <c r="A53" s="0" t="inlineStr">
        <is>
          <t xml:space="preserve">Yes</t>
        </is>
      </c>
      <c r="B53" s="0" t="inlineStr">
        <is>
          <t xml:space="preserve">Gabapentin</t>
        </is>
      </c>
      <c r="C53" s="0" t="inlineStr">
        <is>
          <t xml:space="preserve">Neurontin</t>
        </is>
      </c>
      <c r="D53" s="0" t="inlineStr">
        <is>
          <t xml:space="preserve">600mg</t>
        </is>
      </c>
      <c r="E53" s="0" t="inlineStr">
        <is>
          <t xml:space="preserve">90</t>
        </is>
      </c>
      <c r="F53" s="3">
        <v>12.99</v>
      </c>
      <c r="G53" s="3">
        <v>227.7</v>
      </c>
      <c r="H53" s="3">
        <f>ROUND(G53*1.1,2)</f>
      </c>
      <c r="I53" s="3">
        <f>$B$6</f>
      </c>
      <c r="J53" s="3">
        <f>ROUND((H53*IF(FALSE,$B$4,$B$3)-F53-$B$5-$B$6)*$B$2,2)</f>
      </c>
      <c r="K53" s="0" t="inlineStr">
        <is>
          <t xml:space="preserve">Priced</t>
        </is>
      </c>
    </row>
    <row r="54">
      <c r="A54" s="0" t="inlineStr">
        <is>
          <t xml:space="preserve">Yes</t>
        </is>
      </c>
      <c r="B54" s="0" t="inlineStr">
        <is>
          <t xml:space="preserve">Pregabalin</t>
        </is>
      </c>
      <c r="C54" s="0" t="inlineStr">
        <is>
          <t xml:space="preserve">Lyrica</t>
        </is>
      </c>
      <c r="D54" s="0" t="inlineStr">
        <is>
          <t xml:space="preserve">75mg</t>
        </is>
      </c>
      <c r="E54" s="0" t="inlineStr">
        <is>
          <t xml:space="preserve">30</t>
        </is>
      </c>
      <c r="F54" s="3">
        <v>45.0</v>
      </c>
      <c r="G54" s="3">
        <v>252.82</v>
      </c>
      <c r="H54" s="3">
        <f>ROUND(G54*1.1,2)</f>
      </c>
      <c r="I54" s="3">
        <f>$B$6</f>
      </c>
      <c r="J54" s="3">
        <f>ROUND((H54*IF(FALSE,$B$4,$B$3)-F54-$B$5-$B$6)*$B$2,2)</f>
      </c>
      <c r="K54" s="0" t="inlineStr">
        <is>
          <t xml:space="preserve">Priced</t>
        </is>
      </c>
    </row>
    <row r="55">
      <c r="A55" s="0" t="inlineStr">
        <is>
          <t xml:space="preserve">Yes</t>
        </is>
      </c>
      <c r="B55" s="0" t="inlineStr">
        <is>
          <t xml:space="preserve">Pregabalin</t>
        </is>
      </c>
      <c r="C55" s="0" t="inlineStr">
        <is>
          <t xml:space="preserve">Lyrica</t>
        </is>
      </c>
      <c r="D55" s="0" t="inlineStr">
        <is>
          <t xml:space="preserve">75mg</t>
        </is>
      </c>
      <c r="E55" s="0" t="inlineStr">
        <is>
          <t xml:space="preserve">60</t>
        </is>
      </c>
      <c r="F55" s="3">
        <v>90.0</v>
      </c>
      <c r="G55" s="3">
        <v>505.64</v>
      </c>
      <c r="H55" s="3">
        <f>ROUND(G55*1.1,2)</f>
      </c>
      <c r="I55" s="3">
        <f>$B$6</f>
      </c>
      <c r="J55" s="3">
        <f>ROUND((H55*IF(FALSE,$B$4,$B$3)-F55-$B$5-$B$6)*$B$2,2)</f>
      </c>
      <c r="K55" s="0" t="inlineStr">
        <is>
          <t xml:space="preserve">Priced</t>
        </is>
      </c>
    </row>
    <row r="56">
      <c r="A56" s="0" t="inlineStr">
        <is>
          <t xml:space="preserve">Yes</t>
        </is>
      </c>
      <c r="B56" s="0" t="inlineStr">
        <is>
          <t xml:space="preserve">Pregabalin</t>
        </is>
      </c>
      <c r="C56" s="0" t="inlineStr">
        <is>
          <t xml:space="preserve">Lyrica</t>
        </is>
      </c>
      <c r="D56" s="0" t="inlineStr">
        <is>
          <t xml:space="preserve">75mg</t>
        </is>
      </c>
      <c r="E56" s="0" t="inlineStr">
        <is>
          <t xml:space="preserve">90</t>
        </is>
      </c>
      <c r="F56" s="3">
        <v>31.5</v>
      </c>
      <c r="G56" s="3">
        <v>787.93</v>
      </c>
      <c r="H56" s="3">
        <f>ROUND(G56*1.1,2)</f>
      </c>
      <c r="I56" s="3">
        <f>$B$6</f>
      </c>
      <c r="J56" s="3">
        <f>ROUND((H56*IF(FALSE,$B$4,$B$3)-F56-$B$5-$B$6)*$B$2,2)</f>
      </c>
      <c r="K56" s="0" t="inlineStr">
        <is>
          <t xml:space="preserve">Repriced by pharmacist</t>
        </is>
      </c>
    </row>
    <row r="57">
      <c r="A57" s="6" t="inlineStr">
        <is>
          <t xml:space="preserve">SLEEP</t>
        </is>
      </c>
      <c r="B57" s="6"/>
      <c r="C57" s="6"/>
      <c r="D57" s="6"/>
      <c r="E57" s="6"/>
      <c r="F57" s="6"/>
      <c r="G57" s="6"/>
      <c r="H57" s="6"/>
      <c r="I57" s="6"/>
      <c r="J57" s="6"/>
      <c r="K57" s="6"/>
      <c r="L57" s="6"/>
      <c r="M57" s="6"/>
    </row>
    <row r="58">
      <c r="A58" s="0" t="inlineStr">
        <is>
          <t xml:space="preserve">Yes</t>
        </is>
      </c>
      <c r="B58" s="0" t="inlineStr">
        <is>
          <t xml:space="preserve">Zolpidem</t>
        </is>
      </c>
      <c r="C58" s="0" t="inlineStr">
        <is>
          <t xml:space="preserve">Ambien</t>
        </is>
      </c>
      <c r="D58" s="0" t="inlineStr">
        <is>
          <t xml:space="preserve">5mg</t>
        </is>
      </c>
      <c r="E58" s="0" t="inlineStr">
        <is>
          <t xml:space="preserve">30</t>
        </is>
      </c>
      <c r="F58" s="3">
        <v>1.79</v>
      </c>
      <c r="G58" s="3">
        <v>138.9</v>
      </c>
      <c r="H58" s="3">
        <f>ROUND(G58*1.1,2)</f>
      </c>
      <c r="I58" s="3">
        <f>$B$6</f>
      </c>
      <c r="J58" s="3">
        <f>ROUND((H58*IF(FALSE,$B$4,$B$3)-F58-$B$5-$B$6)*$B$2,2)</f>
      </c>
      <c r="K58" s="0" t="inlineStr">
        <is>
          <t xml:space="preserve">Priced</t>
        </is>
      </c>
    </row>
    <row r="59">
      <c r="A59" s="0" t="inlineStr">
        <is>
          <t xml:space="preserve">Yes</t>
        </is>
      </c>
      <c r="B59" s="0" t="inlineStr">
        <is>
          <t xml:space="preserve">Zolpidem</t>
        </is>
      </c>
      <c r="C59" s="0" t="inlineStr">
        <is>
          <t xml:space="preserve">Ambien</t>
        </is>
      </c>
      <c r="D59" s="0" t="inlineStr">
        <is>
          <t xml:space="preserve">5mg</t>
        </is>
      </c>
      <c r="E59" s="0" t="inlineStr">
        <is>
          <t xml:space="preserve">60</t>
        </is>
      </c>
      <c r="F59" s="3">
        <v>30.0</v>
      </c>
      <c r="G59" s="3">
        <v>611.16</v>
      </c>
      <c r="H59" s="3">
        <f>ROUND(G59*1.1,2)</f>
      </c>
      <c r="I59" s="3">
        <f>$B$6</f>
      </c>
      <c r="J59" s="3">
        <f>ROUND((H59*IF(FALSE,$B$4,$B$3)-F59-$B$5-$B$6)*$B$2,2)</f>
      </c>
      <c r="K59" s="0" t="inlineStr">
        <is>
          <t xml:space="preserve">Repriced by pharmacist</t>
        </is>
      </c>
    </row>
    <row r="60">
      <c r="A60" s="0" t="inlineStr">
        <is>
          <t xml:space="preserve">Yes</t>
        </is>
      </c>
      <c r="B60" s="0" t="inlineStr">
        <is>
          <t xml:space="preserve">Zolpidem</t>
        </is>
      </c>
      <c r="C60" s="0" t="inlineStr">
        <is>
          <t xml:space="preserve">Ambien</t>
        </is>
      </c>
      <c r="D60" s="0" t="inlineStr">
        <is>
          <t xml:space="preserve">10mg</t>
        </is>
      </c>
      <c r="E60" s="0" t="inlineStr">
        <is>
          <t xml:space="preserve">30</t>
        </is>
      </c>
      <c r="F60" s="3">
        <v>1.99</v>
      </c>
      <c r="G60" s="3">
        <v>138.9</v>
      </c>
      <c r="H60" s="3">
        <f>ROUND(G60*1.1,2)</f>
      </c>
      <c r="I60" s="3">
        <f>$B$6</f>
      </c>
      <c r="J60" s="3">
        <f>ROUND((H60*IF(FALSE,$B$4,$B$3)-F60-$B$5-$B$6)*$B$2,2)</f>
      </c>
      <c r="K60" s="0" t="inlineStr">
        <is>
          <t xml:space="preserve">Priced</t>
        </is>
      </c>
    </row>
    <row r="61">
      <c r="A61" s="0" t="inlineStr">
        <is>
          <t xml:space="preserve">Yes</t>
        </is>
      </c>
      <c r="B61" s="0" t="inlineStr">
        <is>
          <t xml:space="preserve">Eszopiclone</t>
        </is>
      </c>
      <c r="D61" s="0" t="inlineStr">
        <is>
          <t xml:space="preserve">2mg</t>
        </is>
      </c>
      <c r="E61" s="0" t="inlineStr">
        <is>
          <t xml:space="preserve">30</t>
        </is>
      </c>
      <c r="F61" s="3">
        <v>13.5</v>
      </c>
      <c r="G61" s="3">
        <v>401.32</v>
      </c>
      <c r="H61" s="3">
        <f>ROUND(G61*1.1,2)</f>
      </c>
      <c r="I61" s="3">
        <f>$B$6</f>
      </c>
      <c r="J61" s="3">
        <f>ROUND((H61*IF(FALSE,$B$4,$B$3)-F61-$B$5-$B$6)*$B$2,2)</f>
      </c>
      <c r="K61" s="0" t="inlineStr">
        <is>
          <t xml:space="preserve">Priced</t>
        </is>
      </c>
    </row>
    <row r="62">
      <c r="A62" s="0" t="inlineStr">
        <is>
          <t xml:space="preserve">Yes</t>
        </is>
      </c>
      <c r="B62" s="0" t="inlineStr">
        <is>
          <t xml:space="preserve">Eszopiclone</t>
        </is>
      </c>
      <c r="D62" s="0" t="inlineStr">
        <is>
          <t xml:space="preserve">3mg</t>
        </is>
      </c>
      <c r="E62" s="0" t="inlineStr">
        <is>
          <t xml:space="preserve">30</t>
        </is>
      </c>
      <c r="F62" s="3">
        <v>18.3</v>
      </c>
      <c r="G62" s="3">
        <v>401.32</v>
      </c>
      <c r="H62" s="3">
        <f>ROUND(G62*1.1,2)</f>
      </c>
      <c r="I62" s="3">
        <f>$B$6</f>
      </c>
      <c r="J62" s="3">
        <f>ROUND((H62*IF(FALSE,$B$4,$B$3)-F62-$B$5-$B$6)*$B$2,2)</f>
      </c>
      <c r="K62" s="0" t="inlineStr">
        <is>
          <t xml:space="preserve">Priced</t>
        </is>
      </c>
    </row>
    <row r="63">
      <c r="A63" s="6" t="inlineStr">
        <is>
          <t xml:space="preserve">PPI PROTECTANTS</t>
        </is>
      </c>
      <c r="B63" s="6"/>
      <c r="C63" s="6"/>
      <c r="D63" s="6"/>
      <c r="E63" s="6"/>
      <c r="F63" s="6"/>
      <c r="G63" s="6"/>
      <c r="H63" s="6"/>
      <c r="I63" s="6"/>
      <c r="J63" s="6"/>
      <c r="K63" s="6"/>
      <c r="L63" s="6"/>
      <c r="M63" s="6"/>
    </row>
    <row r="64">
      <c r="A64" s="0" t="inlineStr">
        <is>
          <t xml:space="preserve">Yes</t>
        </is>
      </c>
      <c r="B64" s="0" t="inlineStr">
        <is>
          <t xml:space="preserve">Omeprazole</t>
        </is>
      </c>
      <c r="C64" s="0" t="inlineStr">
        <is>
          <t xml:space="preserve">Prilosec</t>
        </is>
      </c>
      <c r="D64" s="0" t="inlineStr">
        <is>
          <t xml:space="preserve">20mg</t>
        </is>
      </c>
      <c r="E64" s="0" t="inlineStr">
        <is>
          <t xml:space="preserve">30</t>
        </is>
      </c>
      <c r="F64" s="3">
        <v>1.99</v>
      </c>
      <c r="G64" s="3">
        <v>133.46</v>
      </c>
      <c r="H64" s="3">
        <f>ROUND(G64*1.1,2)</f>
      </c>
      <c r="I64" s="3">
        <f>$B$6</f>
      </c>
      <c r="J64" s="3">
        <f>ROUND((H64*IF(FALSE,$B$4,$B$3)-F64-$B$5-$B$6)*$B$2,2)</f>
      </c>
      <c r="K64" s="0" t="inlineStr">
        <is>
          <t xml:space="preserve">Priced</t>
        </is>
      </c>
    </row>
    <row r="65">
      <c r="A65" s="0" t="inlineStr">
        <is>
          <t xml:space="preserve">Yes</t>
        </is>
      </c>
      <c r="B65" s="0" t="inlineStr">
        <is>
          <t xml:space="preserve">Omeprazole</t>
        </is>
      </c>
      <c r="C65" s="0" t="inlineStr">
        <is>
          <t xml:space="preserve">Prilosec</t>
        </is>
      </c>
      <c r="D65" s="0" t="inlineStr">
        <is>
          <t xml:space="preserve">20mg</t>
        </is>
      </c>
      <c r="E65" s="0" t="inlineStr">
        <is>
          <t xml:space="preserve">60</t>
        </is>
      </c>
      <c r="F65" s="3">
        <v>3.59</v>
      </c>
      <c r="G65" s="3">
        <v>266.92</v>
      </c>
      <c r="H65" s="3">
        <f>ROUND(G65*1.1,2)</f>
      </c>
      <c r="I65" s="3">
        <f>$B$6</f>
      </c>
      <c r="J65" s="3">
        <f>ROUND((H65*IF(FALSE,$B$4,$B$3)-F65-$B$5-$B$6)*$B$2,2)</f>
      </c>
      <c r="K65" s="0" t="inlineStr">
        <is>
          <t xml:space="preserve">Priced</t>
        </is>
      </c>
    </row>
    <row r="66">
      <c r="A66" s="0" t="inlineStr">
        <is>
          <t xml:space="preserve">Yes</t>
        </is>
      </c>
      <c r="B66" s="0" t="inlineStr">
        <is>
          <t xml:space="preserve">Esomeprazole</t>
        </is>
      </c>
      <c r="D66" s="0" t="inlineStr">
        <is>
          <t xml:space="preserve">20mg</t>
        </is>
      </c>
      <c r="E66" s="0" t="inlineStr">
        <is>
          <t xml:space="preserve">30</t>
        </is>
      </c>
      <c r="F66" s="3">
        <v>12.0</v>
      </c>
      <c r="G66" s="3">
        <v>297.77</v>
      </c>
      <c r="H66" s="3">
        <f>ROUND(G66*1.1,2)</f>
      </c>
      <c r="I66" s="3">
        <f>$B$6</f>
      </c>
      <c r="J66" s="3">
        <f>ROUND((H66*IF(FALSE,$B$4,$B$3)-F66-$B$5-$B$6)*$B$2,2)</f>
      </c>
      <c r="K66" s="0" t="inlineStr">
        <is>
          <t xml:space="preserve">Priced</t>
        </is>
      </c>
    </row>
    <row r="67">
      <c r="A67" s="0" t="inlineStr">
        <is>
          <t xml:space="preserve">Yes</t>
        </is>
      </c>
      <c r="B67" s="0" t="inlineStr">
        <is>
          <t xml:space="preserve">Esomeprazole</t>
        </is>
      </c>
      <c r="D67" s="0" t="inlineStr">
        <is>
          <t xml:space="preserve">40mg</t>
        </is>
      </c>
      <c r="E67" s="0" t="inlineStr">
        <is>
          <t xml:space="preserve">30</t>
        </is>
      </c>
      <c r="F67" s="3">
        <v>14.33</v>
      </c>
      <c r="G67" s="3">
        <v>297.77</v>
      </c>
      <c r="H67" s="3">
        <f>ROUND(G67*1.1,2)</f>
      </c>
      <c r="I67" s="3">
        <f>$B$6</f>
      </c>
      <c r="J67" s="3">
        <f>ROUND((H67*IF(FALSE,$B$4,$B$3)-F67-$B$5-$B$6)*$B$2,2)</f>
      </c>
      <c r="K67" s="0" t="inlineStr">
        <is>
          <t xml:space="preserve">Priced</t>
        </is>
      </c>
    </row>
    <row r="68">
      <c r="A68" s="0" t="inlineStr">
        <is>
          <t xml:space="preserve">Yes</t>
        </is>
      </c>
      <c r="B68" s="0" t="inlineStr">
        <is>
          <t xml:space="preserve">Rabeprazole</t>
        </is>
      </c>
      <c r="C68" s="0" t="inlineStr">
        <is>
          <t xml:space="preserve">Aciphex</t>
        </is>
      </c>
      <c r="D68" s="0" t="inlineStr">
        <is>
          <t xml:space="preserve">20mg</t>
        </is>
      </c>
      <c r="E68" s="0" t="inlineStr">
        <is>
          <t xml:space="preserve">30</t>
        </is>
      </c>
      <c r="F68" s="3">
        <v>10.24</v>
      </c>
      <c r="G68" s="3">
        <v>344.1</v>
      </c>
      <c r="H68" s="3">
        <f>ROUND(G68*1.1,2)</f>
      </c>
      <c r="I68" s="3">
        <f>$B$6</f>
      </c>
      <c r="J68" s="3">
        <f>ROUND((H68*IF(FALSE,$B$4,$B$3)-F68-$B$5-$B$6)*$B$2,2)</f>
      </c>
      <c r="K68" s="0" t="inlineStr">
        <is>
          <t xml:space="preserve">Priced</t>
        </is>
      </c>
    </row>
    <row r="69">
      <c r="A69" s="6" t="inlineStr">
        <is>
          <t xml:space="preserve">ANTI NAUSEA</t>
        </is>
      </c>
      <c r="B69" s="6"/>
      <c r="C69" s="6"/>
      <c r="D69" s="6"/>
      <c r="E69" s="6"/>
      <c r="F69" s="6"/>
      <c r="G69" s="6"/>
      <c r="H69" s="6"/>
      <c r="I69" s="6"/>
      <c r="J69" s="6"/>
      <c r="K69" s="6"/>
      <c r="L69" s="6"/>
      <c r="M69" s="6"/>
    </row>
    <row r="70">
      <c r="A70" s="0" t="inlineStr">
        <is>
          <t xml:space="preserve">Yes</t>
        </is>
      </c>
      <c r="B70" s="0" t="inlineStr">
        <is>
          <t xml:space="preserve">Ondansetron</t>
        </is>
      </c>
      <c r="C70" s="0" t="inlineStr">
        <is>
          <t xml:space="preserve">Zofran</t>
        </is>
      </c>
      <c r="D70" s="0" t="inlineStr">
        <is>
          <t xml:space="preserve">4mg</t>
        </is>
      </c>
      <c r="E70" s="0" t="inlineStr">
        <is>
          <t xml:space="preserve">30</t>
        </is>
      </c>
      <c r="F70" s="3">
        <v>4.99</v>
      </c>
      <c r="G70" s="3">
        <v>743.4</v>
      </c>
      <c r="H70" s="3">
        <f>ROUND(G70*1.1,2)</f>
      </c>
      <c r="I70" s="3">
        <f>$B$6</f>
      </c>
      <c r="J70" s="3">
        <f>ROUND((H70*IF(FALSE,$B$4,$B$3)-F70-$B$5-$B$6)*$B$2,2)</f>
      </c>
      <c r="K70" s="0" t="inlineStr">
        <is>
          <t xml:space="preserve">Priced</t>
        </is>
      </c>
    </row>
    <row r="71">
      <c r="A71" s="6" t="inlineStr">
        <is>
          <t xml:space="preserve">CORTICOSTEROID</t>
        </is>
      </c>
      <c r="B71" s="6"/>
      <c r="C71" s="6"/>
      <c r="D71" s="6"/>
      <c r="E71" s="6"/>
      <c r="F71" s="6"/>
      <c r="G71" s="6"/>
      <c r="H71" s="6"/>
      <c r="I71" s="6"/>
      <c r="J71" s="6"/>
      <c r="K71" s="6"/>
      <c r="L71" s="6"/>
      <c r="M71" s="6"/>
    </row>
    <row r="72">
      <c r="A72" s="0" t="inlineStr">
        <is>
          <t xml:space="preserve">Yes</t>
        </is>
      </c>
      <c r="B72" s="0" t="inlineStr">
        <is>
          <t xml:space="preserve">Metheylprednisone Dp</t>
        </is>
      </c>
      <c r="D72" s="0" t="inlineStr">
        <is>
          <t xml:space="preserve">4MG</t>
        </is>
      </c>
      <c r="E72" s="0" t="inlineStr">
        <is>
          <t xml:space="preserve">21</t>
        </is>
      </c>
      <c r="F72" s="3">
        <v>7.99</v>
      </c>
      <c r="G72" s="3">
        <v>38.1</v>
      </c>
      <c r="H72" s="3">
        <f>ROUND(G72*1.1,2)</f>
      </c>
      <c r="I72" s="3">
        <f>$B$6</f>
      </c>
      <c r="J72" s="3">
        <f>ROUND((H72*IF(FALSE,$B$4,$B$3)-F72-$B$5-$B$6)*$B$2,2)</f>
      </c>
      <c r="K72" s="0" t="inlineStr">
        <is>
          <t xml:space="preserve">Priced</t>
        </is>
      </c>
    </row>
    <row r="73">
      <c r="A73" s="6" t="inlineStr">
        <is>
          <t xml:space="preserve">TOPICALS</t>
        </is>
      </c>
      <c r="B73" s="6"/>
      <c r="C73" s="6"/>
      <c r="D73" s="6"/>
      <c r="E73" s="6"/>
      <c r="F73" s="6"/>
      <c r="G73" s="6"/>
      <c r="H73" s="6"/>
      <c r="I73" s="6"/>
      <c r="J73" s="6"/>
      <c r="K73" s="6"/>
      <c r="L73" s="6"/>
      <c r="M73" s="6"/>
    </row>
    <row r="74">
      <c r="A74" s="0" t="inlineStr">
        <is>
          <t xml:space="preserve">Yes</t>
        </is>
      </c>
      <c r="B74" s="0" t="inlineStr">
        <is>
          <t xml:space="preserve">Zylotrol Patch</t>
        </is>
      </c>
      <c r="D74" s="0" t="inlineStr">
        <is>
          <t xml:space="preserve">4% Lido / 1% Menthol</t>
        </is>
      </c>
      <c r="E74" s="0" t="inlineStr">
        <is>
          <t xml:space="preserve">30</t>
        </is>
      </c>
      <c r="F74" s="3">
        <v>170.0</v>
      </c>
      <c r="G74" s="3">
        <v>1756.33</v>
      </c>
      <c r="H74" s="3">
        <f>ROUND(G74*1.1,2)</f>
      </c>
      <c r="I74" s="3">
        <f>$B$6</f>
      </c>
      <c r="J74" s="3">
        <f>ROUND((H74*IF(TRUE,$B$4,$B$3)-F74-$B$5-$B$6)*$B$2,2)</f>
      </c>
      <c r="K74" s="0" t="inlineStr">
        <is>
          <t xml:space="preserve">Priced</t>
        </is>
      </c>
    </row>
    <row r="75">
      <c r="A75" s="0" t="inlineStr">
        <is>
          <t xml:space="preserve">Yes</t>
        </is>
      </c>
      <c r="B75" s="0" t="inlineStr">
        <is>
          <t xml:space="preserve">Zylotrol Patch</t>
        </is>
      </c>
      <c r="D75" s="0" t="inlineStr">
        <is>
          <t xml:space="preserve">4% Lido / 1% Menthol</t>
        </is>
      </c>
      <c r="E75" s="0" t="inlineStr">
        <is>
          <t xml:space="preserve">60</t>
        </is>
      </c>
      <c r="F75" s="3">
        <v>340.0</v>
      </c>
      <c r="G75" s="3">
        <v>3512.65</v>
      </c>
      <c r="H75" s="3">
        <f>ROUND(G75*1.1,2)</f>
      </c>
      <c r="I75" s="3">
        <f>$B$6</f>
      </c>
      <c r="J75" s="3">
        <f>ROUND((H75*IF(TRUE,$B$4,$B$3)-F75-$B$5-$B$6)*$B$2,2)</f>
      </c>
      <c r="K75" s="0" t="inlineStr">
        <is>
          <t xml:space="preserve">Priced</t>
        </is>
      </c>
    </row>
    <row r="76">
      <c r="A76" s="0" t="inlineStr">
        <is>
          <t xml:space="preserve">Yes</t>
        </is>
      </c>
      <c r="B76" s="0" t="inlineStr">
        <is>
          <t xml:space="preserve">Zylotrol Gel</t>
        </is>
      </c>
      <c r="D76" s="0" t="inlineStr">
        <is>
          <t xml:space="preserve">4% Lido / 1% Menthol</t>
        </is>
      </c>
      <c r="E76" s="0" t="inlineStr">
        <is>
          <t xml:space="preserve">102</t>
        </is>
      </c>
      <c r="F76" s="3">
        <v>60.0</v>
      </c>
      <c r="G76" s="3">
        <v>549.31</v>
      </c>
      <c r="H76" s="3">
        <f>ROUND(G76*1.1,2)</f>
      </c>
      <c r="I76" s="3">
        <f>$B$6</f>
      </c>
      <c r="J76" s="3">
        <f>ROUND((H76*IF(TRUE,$B$4,$B$3)-F76-$B$5-$B$6)*$B$2,2)</f>
      </c>
      <c r="K76" s="0" t="inlineStr">
        <is>
          <t xml:space="preserve">Priced</t>
        </is>
      </c>
    </row>
    <row r="77">
      <c r="A77" s="0" t="inlineStr">
        <is>
          <t xml:space="preserve">Yes</t>
        </is>
      </c>
      <c r="B77" s="0" t="inlineStr">
        <is>
          <t xml:space="preserve">Zylotrol Gel</t>
        </is>
      </c>
      <c r="D77" s="0" t="inlineStr">
        <is>
          <t xml:space="preserve">4% Lido / 1% Menthol</t>
        </is>
      </c>
      <c r="E77" s="0" t="inlineStr">
        <is>
          <t xml:space="preserve">204</t>
        </is>
      </c>
      <c r="F77" s="3">
        <v>120.0</v>
      </c>
      <c r="G77" s="3">
        <v>1098.62</v>
      </c>
      <c r="H77" s="3">
        <f>ROUND(G77*1.1,2)</f>
      </c>
      <c r="I77" s="3">
        <f>$B$6</f>
      </c>
      <c r="J77" s="3">
        <f>ROUND((H77*IF(TRUE,$B$4,$B$3)-F77-$B$5-$B$6)*$B$2,2)</f>
      </c>
      <c r="K77" s="0" t="inlineStr">
        <is>
          <t xml:space="preserve">Priced</t>
        </is>
      </c>
    </row>
    <row r="78">
      <c r="A78" s="0" t="inlineStr">
        <is>
          <t xml:space="preserve">Yes</t>
        </is>
      </c>
      <c r="B78" s="0" t="inlineStr">
        <is>
          <t xml:space="preserve">Lidocaine patch</t>
        </is>
      </c>
      <c r="C78" s="0" t="inlineStr">
        <is>
          <t xml:space="preserve">Patch</t>
        </is>
      </c>
      <c r="D78" s="0" t="inlineStr">
        <is>
          <t xml:space="preserve">0.05</t>
        </is>
      </c>
      <c r="E78" s="0" t="inlineStr">
        <is>
          <t xml:space="preserve">30</t>
        </is>
      </c>
      <c r="F78" s="4">
        <v>84.99</v>
      </c>
      <c r="G78" s="4">
        <v>376.77</v>
      </c>
      <c r="H78" s="4">
        <f>ROUND(G78*1.1,2)</f>
      </c>
      <c r="I78" s="3">
        <f>$B$6</f>
      </c>
      <c r="J78" s="4">
        <f>ROUND((H78*IF(TRUE,$B$4,$B$3)-F78-$B$5-$B$6)*$B$2,2)</f>
      </c>
      <c r="K78" s="7" t="inlineStr">
        <is>
          <t xml:space="preserve">Pro rated from the 60 count</t>
        </is>
      </c>
      <c r="L78" s="5" t="inlineStr">
        <is>
          <t xml:space="preserve">Not quoted</t>
        </is>
      </c>
      <c r="M78" s="5" t="inlineStr">
        <is>
          <t xml:space="preserve">Half of the 60 count the pharmacist priced. Nobody has quoted the 30 directly, so this figure is derived and worth confirming.</t>
        </is>
      </c>
    </row>
    <row r="79">
      <c r="A79" s="0" t="inlineStr">
        <is>
          <t xml:space="preserve">Yes</t>
        </is>
      </c>
      <c r="B79" s="0" t="inlineStr">
        <is>
          <t xml:space="preserve">Lidocaine patch</t>
        </is>
      </c>
      <c r="D79" s="0" t="inlineStr">
        <is>
          <t xml:space="preserve">0.05</t>
        </is>
      </c>
      <c r="E79" s="0" t="inlineStr">
        <is>
          <t xml:space="preserve">60</t>
        </is>
      </c>
      <c r="F79" s="4">
        <v>169.98</v>
      </c>
      <c r="G79" s="4">
        <v>753.54</v>
      </c>
      <c r="H79" s="4">
        <f>ROUND(G79*1.1,2)</f>
      </c>
      <c r="I79" s="3">
        <f>$B$6</f>
      </c>
      <c r="J79" s="4">
        <f>ROUND((H79*IF(TRUE,$B$4,$B$3)-F79-$B$5-$B$6)*$B$2,2)</f>
      </c>
      <c r="K79" s="7" t="inlineStr">
        <is>
          <t xml:space="preserve">Priced</t>
        </is>
      </c>
      <c r="L79" s="5" t="inlineStr">
        <is>
          <t xml:space="preserve">Pharmacist</t>
        </is>
      </c>
      <c r="M79" s="5" t="inlineStr">
        <is>
          <t xml:space="preserve">Quantity changed to 30 for a 30 day supply. Prescribers can increase the quantity up to 90 patches for a 30 day supply.</t>
        </is>
      </c>
    </row>
    <row r="80">
      <c r="A80" s="0" t="inlineStr">
        <is>
          <t xml:space="preserve">Yes</t>
        </is>
      </c>
      <c r="B80" s="0" t="inlineStr">
        <is>
          <t xml:space="preserve">Diclofenac Gel</t>
        </is>
      </c>
      <c r="D80" s="0" t="inlineStr">
        <is>
          <t xml:space="preserve">0.01</t>
        </is>
      </c>
      <c r="E80" s="0" t="inlineStr">
        <is>
          <t xml:space="preserve">200gm</t>
        </is>
      </c>
      <c r="F80" s="4">
        <v>89.0</v>
      </c>
      <c r="G80" s="4">
        <v>534.09</v>
      </c>
      <c r="H80" s="4">
        <f>ROUND(G80*1.1,2)</f>
      </c>
      <c r="I80" s="3">
        <f>$B$6</f>
      </c>
      <c r="J80" s="4">
        <f>ROUND((H80*IF(TRUE,$B$4,$B$3)-F80-$B$5-$B$6)*$B$2,2)</f>
      </c>
      <c r="K80" s="7" t="inlineStr">
        <is>
          <t xml:space="preserve">Priced</t>
        </is>
      </c>
      <c r="L80" s="5" t="inlineStr">
        <is>
          <t xml:space="preserve">Pharmacist</t>
        </is>
      </c>
      <c r="M80" s="5" t="inlineStr">
        <is>
          <t xml:space="preserve">We carry this drug in another size or strength.</t>
        </is>
      </c>
    </row>
    <row r="81">
      <c r="A81" s="0" t="inlineStr">
        <is>
          <t xml:space="preserve">Yes</t>
        </is>
      </c>
      <c r="B81" s="0" t="inlineStr">
        <is>
          <t xml:space="preserve">Diclofenac Gel</t>
        </is>
      </c>
      <c r="C81" s="0" t="inlineStr">
        <is>
          <t xml:space="preserve">Diclofenac 3%</t>
        </is>
      </c>
      <c r="D81" s="0" t="inlineStr">
        <is>
          <t xml:space="preserve">0.03</t>
        </is>
      </c>
      <c r="E81" s="0" t="inlineStr">
        <is>
          <t xml:space="preserve">100gm</t>
        </is>
      </c>
      <c r="F81" s="3">
        <v>36.95</v>
      </c>
      <c r="G81" s="3">
        <v>1179.46</v>
      </c>
      <c r="H81" s="3">
        <f>ROUND(G81*1.1,2)</f>
      </c>
      <c r="I81" s="3">
        <f>$B$6</f>
      </c>
      <c r="J81" s="3">
        <f>ROUND((H81*IF(TRUE,$B$4,$B$3)-F81-$B$5-$B$6)*$B$2,2)</f>
      </c>
      <c r="K81" s="0" t="inlineStr">
        <is>
          <t xml:space="preserve">Priced</t>
        </is>
      </c>
    </row>
    <row r="82">
      <c r="A82" s="0" t="inlineStr">
        <is>
          <t xml:space="preserve">Yes</t>
        </is>
      </c>
      <c r="B82" s="0" t="inlineStr">
        <is>
          <t xml:space="preserve">Lidopro Patch</t>
        </is>
      </c>
      <c r="C82" s="0" t="inlineStr">
        <is>
          <t xml:space="preserve">Lidopro</t>
        </is>
      </c>
      <c r="D82" s="0" t="inlineStr">
        <is>
          <t xml:space="preserve">4% Lido / 1% Menthol</t>
        </is>
      </c>
      <c r="E82" s="0" t="inlineStr">
        <is>
          <t xml:space="preserve">30</t>
        </is>
      </c>
      <c r="F82" s="4">
        <v>170.0</v>
      </c>
      <c r="G82" s="4">
        <v>1960.24</v>
      </c>
      <c r="H82" s="4">
        <f>ROUND(G82*1.1,2)</f>
      </c>
      <c r="I82" s="3">
        <f>$B$6</f>
      </c>
      <c r="J82" s="4">
        <f>ROUND((H82*IF(TRUE,$B$4,$B$3)-F82-$B$5-$B$6)*$B$2,2)</f>
      </c>
      <c r="K82" s="7" t="inlineStr">
        <is>
          <t xml:space="preserve">Added by pharmacist</t>
        </is>
      </c>
      <c r="L82" s="5" t="inlineStr">
        <is>
          <t xml:space="preserve">Pharmacist</t>
        </is>
      </c>
      <c r="M82" s="5" t="inlineStr">
        <is>
          <t xml:space="preserve">We carry Lidopro Patch and Lidopro Ointment. It is an alternative to Zylotrol.</t>
        </is>
      </c>
    </row>
    <row r="83">
      <c r="A83" s="0" t="inlineStr">
        <is>
          <t xml:space="preserve">Yes</t>
        </is>
      </c>
      <c r="B83" s="0" t="inlineStr">
        <is>
          <t xml:space="preserve">Lidopro Patch</t>
        </is>
      </c>
      <c r="C83" s="0" t="inlineStr">
        <is>
          <t xml:space="preserve">Lidopro</t>
        </is>
      </c>
      <c r="D83" s="0" t="inlineStr">
        <is>
          <t xml:space="preserve">4% Lido / 1% Menthol</t>
        </is>
      </c>
      <c r="E83" s="0" t="inlineStr">
        <is>
          <t xml:space="preserve">60</t>
        </is>
      </c>
      <c r="F83" s="4">
        <v>340.0</v>
      </c>
      <c r="G83" s="4">
        <v>3920.49</v>
      </c>
      <c r="H83" s="4">
        <f>ROUND(G83*1.1,2)</f>
      </c>
      <c r="I83" s="3">
        <f>$B$6</f>
      </c>
      <c r="J83" s="4">
        <f>ROUND((H83*IF(TRUE,$B$4,$B$3)-F83-$B$5-$B$6)*$B$2,2)</f>
      </c>
      <c r="K83" s="7" t="inlineStr">
        <is>
          <t xml:space="preserve">Added by pharmacist</t>
        </is>
      </c>
      <c r="L83" s="5" t="inlineStr">
        <is>
          <t xml:space="preserve">Pharmacist</t>
        </is>
      </c>
      <c r="M83" s="5" t="inlineStr">
        <is>
          <t xml:space="preserve">We carry Lidopro Patch and Lidopro Ointment. It is an alternative to Zylotrol.</t>
        </is>
      </c>
    </row>
    <row r="84">
      <c r="A84" s="0" t="inlineStr">
        <is>
          <t xml:space="preserve">Yes</t>
        </is>
      </c>
      <c r="B84" s="0" t="inlineStr">
        <is>
          <t xml:space="preserve">Lidopro Ointment</t>
        </is>
      </c>
      <c r="C84" s="0" t="inlineStr">
        <is>
          <t xml:space="preserve">Lidopro</t>
        </is>
      </c>
      <c r="E84" s="0" t="inlineStr">
        <is>
          <t xml:space="preserve">99 grams</t>
        </is>
      </c>
      <c r="F84" s="4">
        <v>46.99</v>
      </c>
      <c r="G84" s="4">
        <v>609.49</v>
      </c>
      <c r="H84" s="4">
        <f>ROUND(G84*1.1,2)</f>
      </c>
      <c r="I84" s="3">
        <f>$B$6</f>
      </c>
      <c r="J84" s="4">
        <f>ROUND((H84*IF(TRUE,$B$4,$B$3)-F84-$B$5-$B$6)*$B$2,2)</f>
      </c>
      <c r="K84" s="7" t="inlineStr">
        <is>
          <t xml:space="preserve">Added by pharmacist</t>
        </is>
      </c>
      <c r="L84" s="5" t="inlineStr">
        <is>
          <t xml:space="preserve">Pharmacist</t>
        </is>
      </c>
      <c r="M84" s="5" t="inlineStr">
        <is>
          <t xml:space="preserve">We carry Lidopro Patch and Lidopro Ointment. It is an alternative to Zylotrol.</t>
        </is>
      </c>
    </row>
    <row r="85">
      <c r="A85" s="0" t="inlineStr">
        <is>
          <t xml:space="preserve">Yes</t>
        </is>
      </c>
      <c r="B85" s="0" t="inlineStr">
        <is>
          <t xml:space="preserve">Lidocaine oint</t>
        </is>
      </c>
      <c r="C85" s="0" t="inlineStr">
        <is>
          <t xml:space="preserve">Lidocaine</t>
        </is>
      </c>
      <c r="D85" s="0" t="inlineStr">
        <is>
          <t xml:space="preserve">5%</t>
        </is>
      </c>
      <c r="E85" s="0" t="inlineStr">
        <is>
          <t xml:space="preserve">177.2 grams</t>
        </is>
      </c>
      <c r="F85" s="4">
        <v>74.95</v>
      </c>
      <c r="G85" s="4">
        <v>1741.63</v>
      </c>
      <c r="H85" s="4">
        <f>ROUND(G85*1.1,2)</f>
      </c>
      <c r="I85" s="3">
        <f>$B$6</f>
      </c>
      <c r="J85" s="4">
        <f>ROUND((H85*IF(TRUE,$B$4,$B$3)-F85-$B$5-$B$6)*$B$2,2)</f>
      </c>
      <c r="K85" s="7" t="inlineStr">
        <is>
          <t xml:space="preserve">Added by pharmacist</t>
        </is>
      </c>
      <c r="L85" s="5" t="inlineStr">
        <is>
          <t xml:space="preserve">Pharmacist</t>
        </is>
      </c>
      <c r="M85" s="5" t="inlineStr">
        <is>
          <t xml:space="preserve">Dispensed quantity changed to 177.2 grams for a 30 day supply. Each tube is 35.44 grams, and we usually dispense 5 tubes.</t>
        </is>
      </c>
    </row>
    <row r="86">
      <c r="A86" s="6" t="inlineStr">
        <is>
          <t xml:space="preserve">PRE/POST SURGICAL COMBO</t>
        </is>
      </c>
      <c r="B86" s="6"/>
      <c r="C86" s="6"/>
      <c r="D86" s="6"/>
      <c r="E86" s="6"/>
      <c r="F86" s="6"/>
      <c r="G86" s="6"/>
      <c r="H86" s="6"/>
      <c r="I86" s="6"/>
      <c r="J86" s="6"/>
      <c r="K86" s="6"/>
      <c r="L86" s="6"/>
      <c r="M86" s="6"/>
    </row>
    <row r="87">
      <c r="A87" s="0" t="inlineStr">
        <is>
          <t xml:space="preserve">No</t>
        </is>
      </c>
      <c r="B87" s="0" t="inlineStr">
        <is>
          <t xml:space="preserve">Skarjel</t>
        </is>
      </c>
      <c r="D87" s="0" t="inlineStr">
        <is>
          <t xml:space="preserve">71</t>
        </is>
      </c>
      <c r="K87" s="7" t="inlineStr">
        <is>
          <t xml:space="preserve">Not available</t>
        </is>
      </c>
      <c r="L87" s="5" t="inlineStr">
        <is>
          <t xml:space="preserve">Pharmacist</t>
        </is>
      </c>
      <c r="M87" s="5" t="inlineStr">
        <is>
          <t xml:space="preserve">Enovachem product. We are currently unable to stock it, and are actively looking to see if there are alternatives.</t>
        </is>
      </c>
    </row>
    <row r="88">
      <c r="A88" s="0" t="inlineStr">
        <is>
          <t xml:space="preserve">No</t>
        </is>
      </c>
      <c r="B88" s="0" t="inlineStr">
        <is>
          <t xml:space="preserve">Narcosoft</t>
        </is>
      </c>
      <c r="D88" s="0" t="inlineStr">
        <is>
          <t xml:space="preserve">30</t>
        </is>
      </c>
      <c r="K88" s="7" t="inlineStr">
        <is>
          <t xml:space="preserve">Not available</t>
        </is>
      </c>
      <c r="L88" s="5" t="inlineStr">
        <is>
          <t xml:space="preserve">Pharmacist</t>
        </is>
      </c>
      <c r="M88" s="5" t="inlineStr">
        <is>
          <t xml:space="preserve">Enovachem product. We are currently unable to stock it. See the alternative below.</t>
        </is>
      </c>
    </row>
    <row r="89">
      <c r="A89" s="0" t="inlineStr">
        <is>
          <t xml:space="preserve">Yes</t>
        </is>
      </c>
      <c r="B89" s="0" t="inlineStr">
        <is>
          <t xml:space="preserve">Ondansetron</t>
        </is>
      </c>
      <c r="C89" s="0" t="inlineStr">
        <is>
          <t xml:space="preserve">Zofran</t>
        </is>
      </c>
      <c r="D89" s="0" t="inlineStr">
        <is>
          <t xml:space="preserve">4mg</t>
        </is>
      </c>
      <c r="E89" s="0" t="inlineStr">
        <is>
          <t xml:space="preserve">30</t>
        </is>
      </c>
      <c r="F89" s="3">
        <v>4.99</v>
      </c>
      <c r="G89" s="3">
        <v>743.4</v>
      </c>
      <c r="H89" s="3">
        <f>ROUND(G89*1.1,2)</f>
      </c>
      <c r="I89" s="3">
        <f>$B$6</f>
      </c>
      <c r="J89" s="3">
        <f>ROUND((H89*IF(FALSE,$B$4,$B$3)-F89-$B$5-$B$6)*$B$2,2)</f>
      </c>
      <c r="K89" s="0" t="inlineStr">
        <is>
          <t xml:space="preserve">Priced</t>
        </is>
      </c>
    </row>
    <row r="90">
      <c r="A90" s="0" t="inlineStr">
        <is>
          <t xml:space="preserve">Yes</t>
        </is>
      </c>
      <c r="B90" s="0" t="inlineStr">
        <is>
          <t xml:space="preserve">Mupirocin cream</t>
        </is>
      </c>
      <c r="D90" s="0" t="inlineStr">
        <is>
          <t xml:space="preserve">0.02</t>
        </is>
      </c>
      <c r="E90" s="0" t="inlineStr">
        <is>
          <t xml:space="preserve">30gm</t>
        </is>
      </c>
      <c r="F90" s="3">
        <v>34.2</v>
      </c>
      <c r="G90" s="3">
        <v>457.12</v>
      </c>
      <c r="H90" s="3">
        <f>ROUND(G90*1.1,2)</f>
      </c>
      <c r="I90" s="3">
        <f>$B$6</f>
      </c>
      <c r="J90" s="3">
        <f>ROUND((H90*IF(FALSE,$B$4,$B$3)-F90-$B$5-$B$6)*$B$2,2)</f>
      </c>
      <c r="K90" s="0" t="inlineStr">
        <is>
          <t xml:space="preserve">Priced</t>
        </is>
      </c>
    </row>
    <row r="91">
      <c r="A91" s="6" t="inlineStr">
        <is>
          <t xml:space="preserve">44 of 65 lines priced. Profit is per fill: the PA fee times the collection rate, less product cost, dispensing and shipping, times the 65 percent practice share. Oral modelled at 80 percent collections, topicals at 70 percent. Shipping is charged once per patient order, not per medication, so a patient on three drugs carries one shipping charge and not three.</t>
        </is>
      </c>
      <c r="B91" s="6"/>
      <c r="C91" s="6"/>
      <c r="D91" s="6"/>
      <c r="E91" s="6"/>
      <c r="F91" s="6"/>
      <c r="G91" s="6"/>
      <c r="H91" s="6"/>
      <c r="I91" s="6"/>
      <c r="J91" s="6"/>
      <c r="K91" s="6"/>
      <c r="L91" s="6"/>
      <c r="M91" s="6"/>
    </row>
  </sheetData>
</worksheet>
</file>

<file path=xl/worksheets/sheet2.xml><?xml version="1.0" encoding="utf-8"?>
<worksheet xmlns="http://schemas.openxmlformats.org/spreadsheetml/2006/main">
  <dimension ref="A1:L154"/>
  <sheetViews>
    <sheetView workbookViewId="0">
      <pane ySplit="10" topLeftCell="A11" activePane="bottomLeft" state="frozen"/>
    </sheetView>
  </sheetViews>
  <sheetFormatPr defaultRowHeight="15"/>
  <cols>
    <col min="1" max="1" width="8" customWidth="1"/>
    <col min="2" max="2" width="30" customWidth="1"/>
    <col min="3" max="3" width="14" customWidth="1"/>
    <col min="4" max="4" width="20" customWidth="1"/>
    <col min="5" max="5" width="12" customWidth="1"/>
    <col min="6" max="6" width="11" customWidth="1"/>
    <col min="7" max="7" width="11" customWidth="1"/>
    <col min="8" max="8" width="12" customWidth="1"/>
    <col min="9" max="9" width="9" customWidth="1"/>
    <col min="10" max="10" width="12" customWidth="1"/>
    <col min="11" max="11" width="24" customWidth="1"/>
  </cols>
  <sheetData>
    <row r="1">
      <c r="A1" s="1" t="inlineStr">
        <is>
          <t xml:space="preserve">THE FULL CATALOGUE. Copy any row and paste it into Your formulary.</t>
        </is>
      </c>
    </row>
    <row r="2">
      <c r="A2" s="9" t="inlineStr">
        <is>
          <t xml:space="preserve">These lines read the assumptions on the first sheet, so they price the same way.</t>
        </is>
      </c>
    </row>
    <row r="3"/>
    <row r="4">
      <c r="A4" s="1" t="inlineStr">
        <is>
          <t xml:space="preserve">Practice share</t>
        </is>
      </c>
      <c r="B4" s="8">
        <f>'Your formulary'!B2</f>
      </c>
    </row>
    <row r="5">
      <c r="A5" s="1" t="inlineStr">
        <is>
          <t xml:space="preserve">Oral collections</t>
        </is>
      </c>
      <c r="B5" s="8">
        <f>'Your formulary'!B3</f>
      </c>
    </row>
    <row r="6">
      <c r="A6" s="1" t="inlineStr">
        <is>
          <t xml:space="preserve">Topical collections</t>
        </is>
      </c>
      <c r="B6" s="8">
        <f>'Your formulary'!B4</f>
      </c>
    </row>
    <row r="7">
      <c r="A7" s="1" t="inlineStr">
        <is>
          <t xml:space="preserve">Dispensing fee / Rx</t>
        </is>
      </c>
      <c r="B7" s="3">
        <f>'Your formulary'!B5</f>
      </c>
    </row>
    <row r="8">
      <c r="A8" s="1" t="inlineStr">
        <is>
          <t xml:space="preserve">Shipping / order</t>
        </is>
      </c>
      <c r="B8" s="3">
        <f>'Your formulary'!B6</f>
      </c>
    </row>
    <row r="9"/>
    <row r="10">
      <c r="A10" s="2" t="inlineStr">
        <is>
          <t xml:space="preserve">Keep</t>
        </is>
      </c>
      <c r="B10" s="2" t="inlineStr">
        <is>
          <t xml:space="preserve">Medication</t>
        </is>
      </c>
      <c r="C10" s="2" t="inlineStr">
        <is>
          <t xml:space="preserve">Brand</t>
        </is>
      </c>
      <c r="D10" s="2" t="inlineStr">
        <is>
          <t xml:space="preserve">Strength</t>
        </is>
      </c>
      <c r="E10" s="2" t="inlineStr">
        <is>
          <t xml:space="preserve">Size</t>
        </is>
      </c>
      <c r="F10" s="2" t="inlineStr">
        <is>
          <t xml:space="preserve">Cost</t>
        </is>
      </c>
      <c r="G10" s="2" t="inlineStr">
        <is>
          <t xml:space="preserve">AWP</t>
        </is>
      </c>
      <c r="H10" s="2" t="inlineStr">
        <is>
          <t xml:space="preserve">PA fee</t>
        </is>
      </c>
      <c r="I10" s="2" t="inlineStr">
        <is>
          <t xml:space="preserve">Ship</t>
        </is>
      </c>
      <c r="J10" s="2" t="inlineStr">
        <is>
          <t xml:space="preserve">Per fill</t>
        </is>
      </c>
      <c r="K10" s="2" t="inlineStr">
        <is>
          <t xml:space="preserve">Category</t>
        </is>
      </c>
    </row>
    <row r="11">
      <c r="A11" s="6" t="inlineStr">
        <is>
          <t xml:space="preserve">AED</t>
        </is>
      </c>
      <c r="B11" s="6"/>
      <c r="C11" s="6"/>
      <c r="D11" s="6"/>
      <c r="E11" s="6"/>
      <c r="F11" s="6"/>
      <c r="G11" s="6"/>
      <c r="H11" s="6"/>
      <c r="I11" s="6"/>
      <c r="J11" s="6"/>
      <c r="K11" s="6"/>
      <c r="L11" s="6"/>
    </row>
    <row r="12">
      <c r="B12" s="0" t="inlineStr">
        <is>
          <t xml:space="preserve">Pregabalin</t>
        </is>
      </c>
      <c r="C12" s="0" t="inlineStr">
        <is>
          <t xml:space="preserve">Lyrica</t>
        </is>
      </c>
      <c r="D12" s="0" t="inlineStr">
        <is>
          <t xml:space="preserve">100mg</t>
        </is>
      </c>
      <c r="E12" s="0" t="inlineStr">
        <is>
          <t xml:space="preserve">30</t>
        </is>
      </c>
      <c r="F12" s="3">
        <v>45.0</v>
      </c>
      <c r="G12" s="3">
        <v>252.82</v>
      </c>
      <c r="H12" s="3">
        <f>ROUND(G12*1.1,2)</f>
      </c>
      <c r="I12" s="3">
        <f>'Your formulary'!$B$6</f>
      </c>
      <c r="J12" s="3">
        <f>ROUND((H12*IF(FALSE,'Your formulary'!$B$4,'Your formulary'!$B$3)-F12-'Your formulary'!$B$5-'Your formulary'!$B$6)*'Your formulary'!$B$2,2)</f>
      </c>
      <c r="K12" s="9" t="inlineStr">
        <is>
          <t xml:space="preserve">AED</t>
        </is>
      </c>
    </row>
    <row r="13">
      <c r="A13" s="9" t="inlineStr">
        <is>
          <t xml:space="preserve">on list</t>
        </is>
      </c>
      <c r="B13" s="0" t="inlineStr">
        <is>
          <t xml:space="preserve">Pregabalin</t>
        </is>
      </c>
      <c r="C13" s="0" t="inlineStr">
        <is>
          <t xml:space="preserve">Lyrica</t>
        </is>
      </c>
      <c r="D13" s="0" t="inlineStr">
        <is>
          <t xml:space="preserve">75mg</t>
        </is>
      </c>
      <c r="E13" s="0" t="inlineStr">
        <is>
          <t xml:space="preserve">30</t>
        </is>
      </c>
      <c r="F13" s="3">
        <v>45.0</v>
      </c>
      <c r="G13" s="3">
        <v>252.82</v>
      </c>
      <c r="H13" s="3">
        <f>ROUND(G13*1.1,2)</f>
      </c>
      <c r="I13" s="3">
        <f>'Your formulary'!$B$6</f>
      </c>
      <c r="J13" s="3">
        <f>ROUND((H13*IF(FALSE,'Your formulary'!$B$4,'Your formulary'!$B$3)-F13-'Your formulary'!$B$5-'Your formulary'!$B$6)*'Your formulary'!$B$2,2)</f>
      </c>
      <c r="K13" s="9" t="inlineStr">
        <is>
          <t xml:space="preserve">AED</t>
        </is>
      </c>
    </row>
    <row r="14">
      <c r="B14" s="0" t="inlineStr">
        <is>
          <t xml:space="preserve">Pregabalin</t>
        </is>
      </c>
      <c r="C14" s="0" t="inlineStr">
        <is>
          <t xml:space="preserve">Lyrica</t>
        </is>
      </c>
      <c r="D14" s="0" t="inlineStr">
        <is>
          <t xml:space="preserve">100mg</t>
        </is>
      </c>
      <c r="E14" s="0" t="inlineStr">
        <is>
          <t xml:space="preserve">60</t>
        </is>
      </c>
      <c r="F14" s="3">
        <v>90.0</v>
      </c>
      <c r="G14" s="3">
        <v>505.64</v>
      </c>
      <c r="H14" s="3">
        <f>ROUND(G14*1.1,2)</f>
      </c>
      <c r="I14" s="3">
        <f>'Your formulary'!$B$6</f>
      </c>
      <c r="J14" s="3">
        <f>ROUND((H14*IF(FALSE,'Your formulary'!$B$4,'Your formulary'!$B$3)-F14-'Your formulary'!$B$5-'Your formulary'!$B$6)*'Your formulary'!$B$2,2)</f>
      </c>
      <c r="K14" s="9" t="inlineStr">
        <is>
          <t xml:space="preserve">AED</t>
        </is>
      </c>
    </row>
    <row r="15">
      <c r="A15" s="9" t="inlineStr">
        <is>
          <t xml:space="preserve">on list</t>
        </is>
      </c>
      <c r="B15" s="0" t="inlineStr">
        <is>
          <t xml:space="preserve">Pregabalin</t>
        </is>
      </c>
      <c r="C15" s="0" t="inlineStr">
        <is>
          <t xml:space="preserve">Lyrica</t>
        </is>
      </c>
      <c r="D15" s="0" t="inlineStr">
        <is>
          <t xml:space="preserve">75mg</t>
        </is>
      </c>
      <c r="E15" s="0" t="inlineStr">
        <is>
          <t xml:space="preserve">60</t>
        </is>
      </c>
      <c r="F15" s="3">
        <v>90.0</v>
      </c>
      <c r="G15" s="3">
        <v>505.64</v>
      </c>
      <c r="H15" s="3">
        <f>ROUND(G15*1.1,2)</f>
      </c>
      <c r="I15" s="3">
        <f>'Your formulary'!$B$6</f>
      </c>
      <c r="J15" s="3">
        <f>ROUND((H15*IF(FALSE,'Your formulary'!$B$4,'Your formulary'!$B$3)-F15-'Your formulary'!$B$5-'Your formulary'!$B$6)*'Your formulary'!$B$2,2)</f>
      </c>
      <c r="K15" s="9" t="inlineStr">
        <is>
          <t xml:space="preserve">AED</t>
        </is>
      </c>
    </row>
    <row r="16">
      <c r="A16" s="9" t="inlineStr">
        <is>
          <t xml:space="preserve">on list</t>
        </is>
      </c>
      <c r="B16" s="0" t="inlineStr">
        <is>
          <t xml:space="preserve">Pregabalin</t>
        </is>
      </c>
      <c r="C16" s="0" t="inlineStr">
        <is>
          <t xml:space="preserve">Pregabalin</t>
        </is>
      </c>
      <c r="D16" s="0" t="inlineStr">
        <is>
          <t xml:space="preserve">75mg</t>
        </is>
      </c>
      <c r="E16" s="0" t="inlineStr">
        <is>
          <t xml:space="preserve">90</t>
        </is>
      </c>
      <c r="F16" s="3">
        <v>31.5</v>
      </c>
      <c r="G16" s="3">
        <v>787.93</v>
      </c>
      <c r="H16" s="3">
        <f>ROUND(G16*1.1,2)</f>
      </c>
      <c r="I16" s="3">
        <f>'Your formulary'!$B$6</f>
      </c>
      <c r="J16" s="3">
        <f>ROUND((H16*IF(FALSE,'Your formulary'!$B$4,'Your formulary'!$B$3)-F16-'Your formulary'!$B$5-'Your formulary'!$B$6)*'Your formulary'!$B$2,2)</f>
      </c>
      <c r="K16" s="9" t="inlineStr">
        <is>
          <t xml:space="preserve">AED</t>
        </is>
      </c>
    </row>
    <row r="17">
      <c r="A17" s="6" t="inlineStr">
        <is>
          <t xml:space="preserve">ANALGESICS</t>
        </is>
      </c>
      <c r="B17" s="6"/>
      <c r="C17" s="6"/>
      <c r="D17" s="6"/>
      <c r="E17" s="6"/>
      <c r="F17" s="6"/>
      <c r="G17" s="6"/>
      <c r="H17" s="6"/>
      <c r="I17" s="6"/>
      <c r="J17" s="6"/>
      <c r="K17" s="6"/>
      <c r="L17" s="6"/>
    </row>
    <row r="18">
      <c r="A18" s="9" t="inlineStr">
        <is>
          <t xml:space="preserve">on list</t>
        </is>
      </c>
      <c r="B18" s="0" t="inlineStr">
        <is>
          <t xml:space="preserve">Duloxetine</t>
        </is>
      </c>
      <c r="C18" s="0" t="inlineStr">
        <is>
          <t xml:space="preserve">Cymbalta</t>
        </is>
      </c>
      <c r="D18" s="0" t="inlineStr">
        <is>
          <t xml:space="preserve">60mg</t>
        </is>
      </c>
      <c r="E18" s="0" t="inlineStr">
        <is>
          <t xml:space="preserve">30</t>
        </is>
      </c>
      <c r="F18" s="3">
        <v>5.49</v>
      </c>
      <c r="G18" s="3">
        <v>235.5501</v>
      </c>
      <c r="H18" s="3">
        <f>ROUND(G18*1.1,2)</f>
      </c>
      <c r="I18" s="3">
        <f>'Your formulary'!$B$6</f>
      </c>
      <c r="J18" s="3">
        <f>ROUND((H18*IF(FALSE,'Your formulary'!$B$4,'Your formulary'!$B$3)-F18-'Your formulary'!$B$5-'Your formulary'!$B$6)*'Your formulary'!$B$2,2)</f>
      </c>
      <c r="K18" s="9" t="inlineStr">
        <is>
          <t xml:space="preserve">ANALGESICS</t>
        </is>
      </c>
    </row>
    <row r="19">
      <c r="A19" s="9" t="inlineStr">
        <is>
          <t xml:space="preserve">on list</t>
        </is>
      </c>
      <c r="B19" s="0" t="inlineStr">
        <is>
          <t xml:space="preserve">Duloxetine</t>
        </is>
      </c>
      <c r="C19" s="0" t="inlineStr">
        <is>
          <t xml:space="preserve">Cymbalta</t>
        </is>
      </c>
      <c r="D19" s="0" t="inlineStr">
        <is>
          <t xml:space="preserve">30mg</t>
        </is>
      </c>
      <c r="E19" s="0" t="inlineStr">
        <is>
          <t xml:space="preserve">60</t>
        </is>
      </c>
      <c r="F19" s="3">
        <v>10.99</v>
      </c>
      <c r="G19" s="3">
        <v>471.1</v>
      </c>
      <c r="H19" s="3">
        <f>ROUND(G19*1.1,2)</f>
      </c>
      <c r="I19" s="3">
        <f>'Your formulary'!$B$6</f>
      </c>
      <c r="J19" s="3">
        <f>ROUND((H19*IF(FALSE,'Your formulary'!$B$4,'Your formulary'!$B$3)-F19-'Your formulary'!$B$5-'Your formulary'!$B$6)*'Your formulary'!$B$2,2)</f>
      </c>
      <c r="K19" s="9" t="inlineStr">
        <is>
          <t xml:space="preserve">ANALGESICS</t>
        </is>
      </c>
    </row>
    <row r="20">
      <c r="A20" s="9" t="inlineStr">
        <is>
          <t xml:space="preserve">on list</t>
        </is>
      </c>
      <c r="B20" s="0" t="inlineStr">
        <is>
          <t xml:space="preserve">Tramadol</t>
        </is>
      </c>
      <c r="C20" s="0" t="inlineStr">
        <is>
          <t xml:space="preserve">Tramadol</t>
        </is>
      </c>
      <c r="D20" s="0" t="inlineStr">
        <is>
          <t xml:space="preserve">50mg</t>
        </is>
      </c>
      <c r="E20" s="0" t="inlineStr">
        <is>
          <t xml:space="preserve">90</t>
        </is>
      </c>
      <c r="F20" s="3">
        <v>13.5</v>
      </c>
      <c r="G20" s="3">
        <v>82.08</v>
      </c>
      <c r="H20" s="3">
        <f>ROUND(G20*1.1,2)</f>
      </c>
      <c r="I20" s="3">
        <f>'Your formulary'!$B$6</f>
      </c>
      <c r="J20" s="3">
        <f>ROUND((H20*IF(FALSE,'Your formulary'!$B$4,'Your formulary'!$B$3)-F20-'Your formulary'!$B$5-'Your formulary'!$B$6)*'Your formulary'!$B$2,2)</f>
      </c>
      <c r="K20" s="9" t="inlineStr">
        <is>
          <t xml:space="preserve">ANALGESICS</t>
        </is>
      </c>
    </row>
    <row r="21">
      <c r="A21" s="9" t="inlineStr">
        <is>
          <t xml:space="preserve">on list</t>
        </is>
      </c>
      <c r="B21" s="0" t="inlineStr">
        <is>
          <t xml:space="preserve">Tramadol ER</t>
        </is>
      </c>
      <c r="C21" s="0" t="inlineStr">
        <is>
          <t xml:space="preserve">Tramadol</t>
        </is>
      </c>
      <c r="D21" s="0" t="inlineStr">
        <is>
          <t xml:space="preserve">300mg</t>
        </is>
      </c>
      <c r="E21" s="0" t="inlineStr">
        <is>
          <t xml:space="preserve">30</t>
        </is>
      </c>
      <c r="F21" s="3">
        <v>105.99</v>
      </c>
      <c r="G21" s="3">
        <v>334.65</v>
      </c>
      <c r="H21" s="3">
        <f>ROUND(G21*1.1,2)</f>
      </c>
      <c r="I21" s="3">
        <f>'Your formulary'!$B$6</f>
      </c>
      <c r="J21" s="3">
        <f>ROUND((H21*IF(FALSE,'Your formulary'!$B$4,'Your formulary'!$B$3)-F21-'Your formulary'!$B$5-'Your formulary'!$B$6)*'Your formulary'!$B$2,2)</f>
      </c>
      <c r="K21" s="9" t="inlineStr">
        <is>
          <t xml:space="preserve">ANALGESICS</t>
        </is>
      </c>
    </row>
    <row r="22">
      <c r="B22" s="0" t="inlineStr">
        <is>
          <t xml:space="preserve">Tramadol HCI</t>
        </is>
      </c>
      <c r="C22" s="0" t="inlineStr">
        <is>
          <t xml:space="preserve">Ultram</t>
        </is>
      </c>
      <c r="D22" s="0" t="inlineStr">
        <is>
          <t xml:space="preserve">50mg</t>
        </is>
      </c>
      <c r="E22" s="0" t="inlineStr">
        <is>
          <t xml:space="preserve">120</t>
        </is>
      </c>
      <c r="F22" s="3">
        <v>6.69</v>
      </c>
      <c r="G22" s="3">
        <v>100.8</v>
      </c>
      <c r="H22" s="3">
        <f>ROUND(G22*1.1,2)</f>
      </c>
      <c r="I22" s="3">
        <f>'Your formulary'!$B$6</f>
      </c>
      <c r="J22" s="3">
        <f>ROUND((H22*IF(FALSE,'Your formulary'!$B$4,'Your formulary'!$B$3)-F22-'Your formulary'!$B$5-'Your formulary'!$B$6)*'Your formulary'!$B$2,2)</f>
      </c>
      <c r="K22" s="9" t="inlineStr">
        <is>
          <t xml:space="preserve">ANALGESICS</t>
        </is>
      </c>
    </row>
    <row r="23">
      <c r="B23" s="0" t="inlineStr">
        <is>
          <t xml:space="preserve">Tramadol HCI</t>
        </is>
      </c>
      <c r="C23" s="0" t="inlineStr">
        <is>
          <t xml:space="preserve">Ultram</t>
        </is>
      </c>
      <c r="D23" s="0" t="inlineStr">
        <is>
          <t xml:space="preserve">50mg</t>
        </is>
      </c>
      <c r="E23" s="0" t="inlineStr">
        <is>
          <t xml:space="preserve">60</t>
        </is>
      </c>
      <c r="F23" s="3">
        <v>2.49</v>
      </c>
      <c r="G23" s="3">
        <v>50.4</v>
      </c>
      <c r="H23" s="3">
        <f>ROUND(G23*1.1,2)</f>
      </c>
      <c r="I23" s="3">
        <f>'Your formulary'!$B$6</f>
      </c>
      <c r="J23" s="3">
        <f>ROUND((H23*IF(FALSE,'Your formulary'!$B$4,'Your formulary'!$B$3)-F23-'Your formulary'!$B$5-'Your formulary'!$B$6)*'Your formulary'!$B$2,2)</f>
      </c>
      <c r="K23" s="9" t="inlineStr">
        <is>
          <t xml:space="preserve">ANALGESICS</t>
        </is>
      </c>
    </row>
    <row r="24">
      <c r="B24" s="0" t="inlineStr">
        <is>
          <t xml:space="preserve">Tramadol HCI ER</t>
        </is>
      </c>
      <c r="C24" s="0" t="inlineStr">
        <is>
          <t xml:space="preserve">Ultram ER</t>
        </is>
      </c>
      <c r="D24" s="0" t="inlineStr">
        <is>
          <t xml:space="preserve">200mg</t>
        </is>
      </c>
      <c r="E24" s="0" t="inlineStr">
        <is>
          <t xml:space="preserve">30</t>
        </is>
      </c>
      <c r="F24" s="3">
        <v>56.99</v>
      </c>
      <c r="G24" s="3">
        <v>180.69</v>
      </c>
      <c r="H24" s="3">
        <f>ROUND(G24*1.1,2)</f>
      </c>
      <c r="I24" s="3">
        <f>'Your formulary'!$B$6</f>
      </c>
      <c r="J24" s="3">
        <f>ROUND((H24*IF(FALSE,'Your formulary'!$B$4,'Your formulary'!$B$3)-F24-'Your formulary'!$B$5-'Your formulary'!$B$6)*'Your formulary'!$B$2,2)</f>
      </c>
      <c r="K24" s="9" t="inlineStr">
        <is>
          <t xml:space="preserve">ANALGESICS</t>
        </is>
      </c>
    </row>
    <row r="25">
      <c r="B25" s="0" t="inlineStr">
        <is>
          <t xml:space="preserve">Tramadol HCI ER</t>
        </is>
      </c>
      <c r="C25" s="0" t="inlineStr">
        <is>
          <t xml:space="preserve">Ultram ER</t>
        </is>
      </c>
      <c r="D25" s="0" t="inlineStr">
        <is>
          <t xml:space="preserve">150mg</t>
        </is>
      </c>
      <c r="E25" s="0" t="inlineStr">
        <is>
          <t xml:space="preserve">30</t>
        </is>
      </c>
      <c r="F25" s="3">
        <v>0.0</v>
      </c>
      <c r="G25" s="3">
        <v>278.1</v>
      </c>
      <c r="H25" s="3">
        <f>ROUND(G25*1.1,2)</f>
      </c>
      <c r="I25" s="3">
        <f>'Your formulary'!$B$6</f>
      </c>
      <c r="J25" s="3">
        <f>ROUND((H25*IF(FALSE,'Your formulary'!$B$4,'Your formulary'!$B$3)-F25-'Your formulary'!$B$5-'Your formulary'!$B$6)*'Your formulary'!$B$2,2)</f>
      </c>
      <c r="K25" s="9" t="inlineStr">
        <is>
          <t xml:space="preserve">ANALGESICS</t>
        </is>
      </c>
    </row>
    <row r="26">
      <c r="B26" s="0" t="inlineStr">
        <is>
          <t xml:space="preserve">Tramadol HCI ER</t>
        </is>
      </c>
      <c r="C26" s="0" t="inlineStr">
        <is>
          <t xml:space="preserve">Ultram ER</t>
        </is>
      </c>
      <c r="D26" s="0" t="inlineStr">
        <is>
          <t xml:space="preserve">100mg</t>
        </is>
      </c>
      <c r="E26" s="0" t="inlineStr">
        <is>
          <t xml:space="preserve">30</t>
        </is>
      </c>
      <c r="F26" s="3">
        <v>34.95</v>
      </c>
      <c r="G26" s="3">
        <v>109.2</v>
      </c>
      <c r="H26" s="3">
        <f>ROUND(G26*1.1,2)</f>
      </c>
      <c r="I26" s="3">
        <f>'Your formulary'!$B$6</f>
      </c>
      <c r="J26" s="3">
        <f>ROUND((H26*IF(FALSE,'Your formulary'!$B$4,'Your formulary'!$B$3)-F26-'Your formulary'!$B$5-'Your formulary'!$B$6)*'Your formulary'!$B$2,2)</f>
      </c>
      <c r="K26" s="9" t="inlineStr">
        <is>
          <t xml:space="preserve">ANALGESICS</t>
        </is>
      </c>
    </row>
    <row r="27">
      <c r="B27" s="0" t="inlineStr">
        <is>
          <t xml:space="preserve">Tramadol HCI ER</t>
        </is>
      </c>
      <c r="C27" s="0" t="inlineStr">
        <is>
          <t xml:space="preserve">Ultram ER</t>
        </is>
      </c>
      <c r="D27" s="0" t="inlineStr">
        <is>
          <t xml:space="preserve">150mg</t>
        </is>
      </c>
      <c r="E27" s="0" t="inlineStr">
        <is>
          <t xml:space="preserve">60</t>
        </is>
      </c>
      <c r="F27" s="3">
        <v>0.0</v>
      </c>
      <c r="G27" s="3">
        <v>556.2</v>
      </c>
      <c r="H27" s="3">
        <f>ROUND(G27*1.1,2)</f>
      </c>
      <c r="I27" s="3">
        <f>'Your formulary'!$B$6</f>
      </c>
      <c r="J27" s="3">
        <f>ROUND((H27*IF(FALSE,'Your formulary'!$B$4,'Your formulary'!$B$3)-F27-'Your formulary'!$B$5-'Your formulary'!$B$6)*'Your formulary'!$B$2,2)</f>
      </c>
      <c r="K27" s="9" t="inlineStr">
        <is>
          <t xml:space="preserve">ANALGESICS</t>
        </is>
      </c>
    </row>
    <row r="28">
      <c r="A28" s="6" t="inlineStr">
        <is>
          <t xml:space="preserve">ANTI CONVULSANTS</t>
        </is>
      </c>
      <c r="B28" s="6"/>
      <c r="C28" s="6"/>
      <c r="D28" s="6"/>
      <c r="E28" s="6"/>
      <c r="F28" s="6"/>
      <c r="G28" s="6"/>
      <c r="H28" s="6"/>
      <c r="I28" s="6"/>
      <c r="J28" s="6"/>
      <c r="K28" s="6"/>
      <c r="L28" s="6"/>
    </row>
    <row r="29">
      <c r="B29" s="0" t="inlineStr">
        <is>
          <t xml:space="preserve">Gabapentin</t>
        </is>
      </c>
      <c r="C29" s="0" t="inlineStr">
        <is>
          <t xml:space="preserve">Neurontin</t>
        </is>
      </c>
      <c r="D29" s="0" t="inlineStr">
        <is>
          <t xml:space="preserve">300mg</t>
        </is>
      </c>
      <c r="E29" s="0" t="inlineStr">
        <is>
          <t xml:space="preserve">30</t>
        </is>
      </c>
      <c r="F29" s="3">
        <v>4.49</v>
      </c>
      <c r="G29" s="3">
        <v>39.92</v>
      </c>
      <c r="H29" s="3">
        <f>ROUND(G29*1.1,2)</f>
      </c>
      <c r="I29" s="3">
        <f>'Your formulary'!$B$6</f>
      </c>
      <c r="J29" s="3">
        <f>ROUND((H29*IF(FALSE,'Your formulary'!$B$4,'Your formulary'!$B$3)-F29-'Your formulary'!$B$5-'Your formulary'!$B$6)*'Your formulary'!$B$2,2)</f>
      </c>
      <c r="K29" s="9" t="inlineStr">
        <is>
          <t xml:space="preserve">ANTI CONVULSANTS</t>
        </is>
      </c>
    </row>
    <row r="30">
      <c r="B30" s="0" t="inlineStr">
        <is>
          <t xml:space="preserve">Gabapentin</t>
        </is>
      </c>
      <c r="C30" s="0" t="inlineStr">
        <is>
          <t xml:space="preserve">Neurontin</t>
        </is>
      </c>
      <c r="D30" s="0" t="inlineStr">
        <is>
          <t xml:space="preserve">600mg</t>
        </is>
      </c>
      <c r="E30" s="0" t="inlineStr">
        <is>
          <t xml:space="preserve">30</t>
        </is>
      </c>
      <c r="F30" s="3">
        <v>4.39</v>
      </c>
      <c r="G30" s="3">
        <v>75.9</v>
      </c>
      <c r="H30" s="3">
        <f>ROUND(G30*1.1,2)</f>
      </c>
      <c r="I30" s="3">
        <f>'Your formulary'!$B$6</f>
      </c>
      <c r="J30" s="3">
        <f>ROUND((H30*IF(FALSE,'Your formulary'!$B$4,'Your formulary'!$B$3)-F30-'Your formulary'!$B$5-'Your formulary'!$B$6)*'Your formulary'!$B$2,2)</f>
      </c>
      <c r="K30" s="9" t="inlineStr">
        <is>
          <t xml:space="preserve">ANTI CONVULSANTS</t>
        </is>
      </c>
    </row>
    <row r="31">
      <c r="B31" s="0" t="inlineStr">
        <is>
          <t xml:space="preserve">Gabapentin</t>
        </is>
      </c>
      <c r="C31" s="0" t="inlineStr">
        <is>
          <t xml:space="preserve">Neurontin</t>
        </is>
      </c>
      <c r="D31" s="0" t="inlineStr">
        <is>
          <t xml:space="preserve">100mg</t>
        </is>
      </c>
      <c r="E31" s="0" t="inlineStr">
        <is>
          <t xml:space="preserve">30</t>
        </is>
      </c>
      <c r="F31" s="3">
        <v>1.99</v>
      </c>
      <c r="G31" s="3">
        <v>15.9</v>
      </c>
      <c r="H31" s="3">
        <f>ROUND(G31*1.1,2)</f>
      </c>
      <c r="I31" s="3">
        <f>'Your formulary'!$B$6</f>
      </c>
      <c r="J31" s="3">
        <f>ROUND((H31*IF(FALSE,'Your formulary'!$B$4,'Your formulary'!$B$3)-F31-'Your formulary'!$B$5-'Your formulary'!$B$6)*'Your formulary'!$B$2,2)</f>
      </c>
      <c r="K31" s="9" t="inlineStr">
        <is>
          <t xml:space="preserve">ANTI CONVULSANTS</t>
        </is>
      </c>
    </row>
    <row r="32">
      <c r="A32" s="9" t="inlineStr">
        <is>
          <t xml:space="preserve">on list</t>
        </is>
      </c>
      <c r="B32" s="0" t="inlineStr">
        <is>
          <t xml:space="preserve">Gabapentin</t>
        </is>
      </c>
      <c r="C32" s="0" t="inlineStr">
        <is>
          <t xml:space="preserve">Gabapentin</t>
        </is>
      </c>
      <c r="D32" s="0" t="inlineStr">
        <is>
          <t xml:space="preserve">300mg</t>
        </is>
      </c>
      <c r="E32" s="0" t="inlineStr">
        <is>
          <t xml:space="preserve">60</t>
        </is>
      </c>
      <c r="F32" s="3">
        <v>10.8</v>
      </c>
      <c r="G32" s="3">
        <v>87.85</v>
      </c>
      <c r="H32" s="3">
        <f>ROUND(G32*1.1,2)</f>
      </c>
      <c r="I32" s="3">
        <f>'Your formulary'!$B$6</f>
      </c>
      <c r="J32" s="3">
        <f>ROUND((H32*IF(FALSE,'Your formulary'!$B$4,'Your formulary'!$B$3)-F32-'Your formulary'!$B$5-'Your formulary'!$B$6)*'Your formulary'!$B$2,2)</f>
      </c>
      <c r="K32" s="9" t="inlineStr">
        <is>
          <t xml:space="preserve">ANTI CONVULSANTS</t>
        </is>
      </c>
    </row>
    <row r="33">
      <c r="B33" s="0" t="inlineStr">
        <is>
          <t xml:space="preserve">Gabapentin</t>
        </is>
      </c>
      <c r="C33" s="0" t="inlineStr">
        <is>
          <t xml:space="preserve">Neurontin</t>
        </is>
      </c>
      <c r="D33" s="0" t="inlineStr">
        <is>
          <t xml:space="preserve">600mg</t>
        </is>
      </c>
      <c r="E33" s="0" t="inlineStr">
        <is>
          <t xml:space="preserve">60</t>
        </is>
      </c>
      <c r="F33" s="3">
        <v>8.99</v>
      </c>
      <c r="G33" s="3">
        <v>151.8</v>
      </c>
      <c r="H33" s="3">
        <f>ROUND(G33*1.1,2)</f>
      </c>
      <c r="I33" s="3">
        <f>'Your formulary'!$B$6</f>
      </c>
      <c r="J33" s="3">
        <f>ROUND((H33*IF(FALSE,'Your formulary'!$B$4,'Your formulary'!$B$3)-F33-'Your formulary'!$B$5-'Your formulary'!$B$6)*'Your formulary'!$B$2,2)</f>
      </c>
      <c r="K33" s="9" t="inlineStr">
        <is>
          <t xml:space="preserve">ANTI CONVULSANTS</t>
        </is>
      </c>
    </row>
    <row r="34">
      <c r="A34" s="9" t="inlineStr">
        <is>
          <t xml:space="preserve">on list</t>
        </is>
      </c>
      <c r="B34" s="0" t="inlineStr">
        <is>
          <t xml:space="preserve">Gabapentin</t>
        </is>
      </c>
      <c r="C34" s="0" t="inlineStr">
        <is>
          <t xml:space="preserve">Gabapentin</t>
        </is>
      </c>
      <c r="D34" s="0" t="inlineStr">
        <is>
          <t xml:space="preserve">400mg</t>
        </is>
      </c>
      <c r="E34" s="0" t="inlineStr">
        <is>
          <t xml:space="preserve">90</t>
        </is>
      </c>
      <c r="F34" s="3">
        <v>19.44</v>
      </c>
      <c r="G34" s="3">
        <v>159.04</v>
      </c>
      <c r="H34" s="3">
        <f>ROUND(G34*1.1,2)</f>
      </c>
      <c r="I34" s="3">
        <f>'Your formulary'!$B$6</f>
      </c>
      <c r="J34" s="3">
        <f>ROUND((H34*IF(FALSE,'Your formulary'!$B$4,'Your formulary'!$B$3)-F34-'Your formulary'!$B$5-'Your formulary'!$B$6)*'Your formulary'!$B$2,2)</f>
      </c>
      <c r="K34" s="9" t="inlineStr">
        <is>
          <t xml:space="preserve">ANTI CONVULSANTS</t>
        </is>
      </c>
    </row>
    <row r="35">
      <c r="A35" s="9" t="inlineStr">
        <is>
          <t xml:space="preserve">on list</t>
        </is>
      </c>
      <c r="B35" s="0" t="inlineStr">
        <is>
          <t xml:space="preserve">Gabapentin</t>
        </is>
      </c>
      <c r="C35" s="0" t="inlineStr">
        <is>
          <t xml:space="preserve">Neurontin</t>
        </is>
      </c>
      <c r="D35" s="0" t="inlineStr">
        <is>
          <t xml:space="preserve">600mg</t>
        </is>
      </c>
      <c r="E35" s="0" t="inlineStr">
        <is>
          <t xml:space="preserve">90</t>
        </is>
      </c>
      <c r="F35" s="3">
        <v>12.99</v>
      </c>
      <c r="G35" s="3">
        <v>227.7</v>
      </c>
      <c r="H35" s="3">
        <f>ROUND(G35*1.1,2)</f>
      </c>
      <c r="I35" s="3">
        <f>'Your formulary'!$B$6</f>
      </c>
      <c r="J35" s="3">
        <f>ROUND((H35*IF(FALSE,'Your formulary'!$B$4,'Your formulary'!$B$3)-F35-'Your formulary'!$B$5-'Your formulary'!$B$6)*'Your formulary'!$B$2,2)</f>
      </c>
      <c r="K35" s="9" t="inlineStr">
        <is>
          <t xml:space="preserve">ANTI CONVULSANTS</t>
        </is>
      </c>
    </row>
    <row r="36">
      <c r="B36" s="0" t="inlineStr">
        <is>
          <t xml:space="preserve">Gabapentin</t>
        </is>
      </c>
      <c r="C36" s="0" t="inlineStr">
        <is>
          <t xml:space="preserve">Neurontin</t>
        </is>
      </c>
      <c r="D36" s="0" t="inlineStr">
        <is>
          <t xml:space="preserve">300mg</t>
        </is>
      </c>
      <c r="E36" s="0" t="inlineStr">
        <is>
          <t xml:space="preserve">90</t>
        </is>
      </c>
      <c r="F36" s="3">
        <v>13.79</v>
      </c>
      <c r="G36" s="3">
        <v>119.76</v>
      </c>
      <c r="H36" s="3">
        <f>ROUND(G36*1.1,2)</f>
      </c>
      <c r="I36" s="3">
        <f>'Your formulary'!$B$6</f>
      </c>
      <c r="J36" s="3">
        <f>ROUND((H36*IF(FALSE,'Your formulary'!$B$4,'Your formulary'!$B$3)-F36-'Your formulary'!$B$5-'Your formulary'!$B$6)*'Your formulary'!$B$2,2)</f>
      </c>
      <c r="K36" s="9" t="inlineStr">
        <is>
          <t xml:space="preserve">ANTI CONVULSANTS</t>
        </is>
      </c>
    </row>
    <row r="37">
      <c r="A37" s="9" t="inlineStr">
        <is>
          <t xml:space="preserve">on list</t>
        </is>
      </c>
      <c r="B37" s="0" t="inlineStr">
        <is>
          <t xml:space="preserve">Gabapentin</t>
        </is>
      </c>
      <c r="C37" s="0" t="inlineStr">
        <is>
          <t xml:space="preserve">Neurontin</t>
        </is>
      </c>
      <c r="D37" s="0" t="inlineStr">
        <is>
          <t xml:space="preserve">100mg</t>
        </is>
      </c>
      <c r="E37" s="0" t="inlineStr">
        <is>
          <t xml:space="preserve">90</t>
        </is>
      </c>
      <c r="F37" s="3">
        <v>5.39</v>
      </c>
      <c r="G37" s="3">
        <v>47.7</v>
      </c>
      <c r="H37" s="3">
        <f>ROUND(G37*1.1,2)</f>
      </c>
      <c r="I37" s="3">
        <f>'Your formulary'!$B$6</f>
      </c>
      <c r="J37" s="3">
        <f>ROUND((H37*IF(FALSE,'Your formulary'!$B$4,'Your formulary'!$B$3)-F37-'Your formulary'!$B$5-'Your formulary'!$B$6)*'Your formulary'!$B$2,2)</f>
      </c>
      <c r="K37" s="9" t="inlineStr">
        <is>
          <t xml:space="preserve">ANTI CONVULSANTS</t>
        </is>
      </c>
    </row>
    <row r="38">
      <c r="B38" s="0" t="inlineStr">
        <is>
          <t xml:space="preserve">Topiramate</t>
        </is>
      </c>
      <c r="C38" s="0" t="inlineStr">
        <is>
          <t xml:space="preserve">Topamax</t>
        </is>
      </c>
      <c r="D38" s="0" t="inlineStr">
        <is>
          <t xml:space="preserve">50mg</t>
        </is>
      </c>
      <c r="E38" s="0" t="inlineStr">
        <is>
          <t xml:space="preserve">30</t>
        </is>
      </c>
      <c r="F38" s="3">
        <v>2.49</v>
      </c>
      <c r="G38" s="3">
        <v>141.0</v>
      </c>
      <c r="H38" s="3">
        <f>ROUND(G38*1.1,2)</f>
      </c>
      <c r="I38" s="3">
        <f>'Your formulary'!$B$6</f>
      </c>
      <c r="J38" s="3">
        <f>ROUND((H38*IF(FALSE,'Your formulary'!$B$4,'Your formulary'!$B$3)-F38-'Your formulary'!$B$5-'Your formulary'!$B$6)*'Your formulary'!$B$2,2)</f>
      </c>
      <c r="K38" s="9" t="inlineStr">
        <is>
          <t xml:space="preserve">ANTI CONVULSANTS</t>
        </is>
      </c>
    </row>
    <row r="39">
      <c r="B39" s="0" t="inlineStr">
        <is>
          <t xml:space="preserve">Topiramate</t>
        </is>
      </c>
      <c r="C39" s="0" t="inlineStr">
        <is>
          <t xml:space="preserve">Topamax</t>
        </is>
      </c>
      <c r="D39" s="0" t="inlineStr">
        <is>
          <t xml:space="preserve">100mg</t>
        </is>
      </c>
      <c r="E39" s="0" t="inlineStr">
        <is>
          <t xml:space="preserve">60</t>
        </is>
      </c>
      <c r="F39" s="3">
        <v>4.59</v>
      </c>
      <c r="G39" s="3">
        <v>372.0</v>
      </c>
      <c r="H39" s="3">
        <f>ROUND(G39*1.1,2)</f>
      </c>
      <c r="I39" s="3">
        <f>'Your formulary'!$B$6</f>
      </c>
      <c r="J39" s="3">
        <f>ROUND((H39*IF(FALSE,'Your formulary'!$B$4,'Your formulary'!$B$3)-F39-'Your formulary'!$B$5-'Your formulary'!$B$6)*'Your formulary'!$B$2,2)</f>
      </c>
      <c r="K39" s="9" t="inlineStr">
        <is>
          <t xml:space="preserve">ANTI CONVULSANTS</t>
        </is>
      </c>
    </row>
    <row r="40">
      <c r="B40" s="0" t="inlineStr">
        <is>
          <t xml:space="preserve">Topiramate</t>
        </is>
      </c>
      <c r="C40" s="0" t="inlineStr">
        <is>
          <t xml:space="preserve">Topamax</t>
        </is>
      </c>
      <c r="D40" s="0" t="inlineStr">
        <is>
          <t xml:space="preserve">50mg</t>
        </is>
      </c>
      <c r="E40" s="0" t="inlineStr">
        <is>
          <t xml:space="preserve">60</t>
        </is>
      </c>
      <c r="F40" s="3">
        <v>4.59</v>
      </c>
      <c r="G40" s="3">
        <v>282.0</v>
      </c>
      <c r="H40" s="3">
        <f>ROUND(G40*1.1,2)</f>
      </c>
      <c r="I40" s="3">
        <f>'Your formulary'!$B$6</f>
      </c>
      <c r="J40" s="3">
        <f>ROUND((H40*IF(FALSE,'Your formulary'!$B$4,'Your formulary'!$B$3)-F40-'Your formulary'!$B$5-'Your formulary'!$B$6)*'Your formulary'!$B$2,2)</f>
      </c>
      <c r="K40" s="9" t="inlineStr">
        <is>
          <t xml:space="preserve">ANTI CONVULSANTS</t>
        </is>
      </c>
    </row>
    <row r="41">
      <c r="A41" s="6" t="inlineStr">
        <is>
          <t xml:space="preserve">ANTI NAUSEANT</t>
        </is>
      </c>
      <c r="B41" s="6"/>
      <c r="C41" s="6"/>
      <c r="D41" s="6"/>
      <c r="E41" s="6"/>
      <c r="F41" s="6"/>
      <c r="G41" s="6"/>
      <c r="H41" s="6"/>
      <c r="I41" s="6"/>
      <c r="J41" s="6"/>
      <c r="K41" s="6"/>
      <c r="L41" s="6"/>
    </row>
    <row r="42">
      <c r="A42" s="9" t="inlineStr">
        <is>
          <t xml:space="preserve">on list</t>
        </is>
      </c>
      <c r="B42" s="0" t="inlineStr">
        <is>
          <t xml:space="preserve">Ondansetron</t>
        </is>
      </c>
      <c r="C42" s="0" t="inlineStr">
        <is>
          <t xml:space="preserve">Zofran</t>
        </is>
      </c>
      <c r="D42" s="0" t="inlineStr">
        <is>
          <t xml:space="preserve">4mg</t>
        </is>
      </c>
      <c r="E42" s="0" t="inlineStr">
        <is>
          <t xml:space="preserve">30</t>
        </is>
      </c>
      <c r="F42" s="3">
        <v>4.99</v>
      </c>
      <c r="G42" s="3">
        <v>743.4</v>
      </c>
      <c r="H42" s="3">
        <f>ROUND(G42*1.1,2)</f>
      </c>
      <c r="I42" s="3">
        <f>'Your formulary'!$B$6</f>
      </c>
      <c r="J42" s="3">
        <f>ROUND((H42*IF(FALSE,'Your formulary'!$B$4,'Your formulary'!$B$3)-F42-'Your formulary'!$B$5-'Your formulary'!$B$6)*'Your formulary'!$B$2,2)</f>
      </c>
      <c r="K42" s="9" t="inlineStr">
        <is>
          <t xml:space="preserve">ANTI NAUSEANT</t>
        </is>
      </c>
    </row>
    <row r="43">
      <c r="B43" s="0" t="inlineStr">
        <is>
          <t xml:space="preserve">Ondansetron</t>
        </is>
      </c>
      <c r="C43" s="0" t="inlineStr">
        <is>
          <t xml:space="preserve">Zofran</t>
        </is>
      </c>
      <c r="D43" s="0" t="inlineStr">
        <is>
          <t xml:space="preserve">8mg</t>
        </is>
      </c>
      <c r="E43" s="0" t="inlineStr">
        <is>
          <t xml:space="preserve">30</t>
        </is>
      </c>
      <c r="F43" s="3">
        <v>5.99</v>
      </c>
      <c r="G43" s="3">
        <v>1245.95</v>
      </c>
      <c r="H43" s="3">
        <f>ROUND(G43*1.1,2)</f>
      </c>
      <c r="I43" s="3">
        <f>'Your formulary'!$B$6</f>
      </c>
      <c r="J43" s="3">
        <f>ROUND((H43*IF(FALSE,'Your formulary'!$B$4,'Your formulary'!$B$3)-F43-'Your formulary'!$B$5-'Your formulary'!$B$6)*'Your formulary'!$B$2,2)</f>
      </c>
      <c r="K43" s="9" t="inlineStr">
        <is>
          <t xml:space="preserve">ANTI NAUSEANT</t>
        </is>
      </c>
    </row>
    <row r="44">
      <c r="B44" s="0" t="inlineStr">
        <is>
          <t xml:space="preserve">Ondansetron ODT</t>
        </is>
      </c>
      <c r="C44" s="0" t="inlineStr">
        <is>
          <t xml:space="preserve">Zofran ODT</t>
        </is>
      </c>
      <c r="D44" s="0" t="inlineStr">
        <is>
          <t xml:space="preserve">8mg</t>
        </is>
      </c>
      <c r="E44" s="0" t="inlineStr">
        <is>
          <t xml:space="preserve">10</t>
        </is>
      </c>
      <c r="F44" s="3">
        <v>5.29</v>
      </c>
      <c r="G44" s="3">
        <v>385.0</v>
      </c>
      <c r="H44" s="3">
        <f>ROUND(G44*1.1,2)</f>
      </c>
      <c r="I44" s="3">
        <f>'Your formulary'!$B$6</f>
      </c>
      <c r="J44" s="3">
        <f>ROUND((H44*IF(FALSE,'Your formulary'!$B$4,'Your formulary'!$B$3)-F44-'Your formulary'!$B$5-'Your formulary'!$B$6)*'Your formulary'!$B$2,2)</f>
      </c>
      <c r="K44" s="9" t="inlineStr">
        <is>
          <t xml:space="preserve">ANTI NAUSEANT</t>
        </is>
      </c>
    </row>
    <row r="45">
      <c r="B45" s="0" t="inlineStr">
        <is>
          <t xml:space="preserve">Ondansetron ODT</t>
        </is>
      </c>
      <c r="C45" s="0" t="inlineStr">
        <is>
          <t xml:space="preserve">Zofran ODT</t>
        </is>
      </c>
      <c r="D45" s="0" t="inlineStr">
        <is>
          <t xml:space="preserve">4mg</t>
        </is>
      </c>
      <c r="E45" s="0" t="inlineStr">
        <is>
          <t xml:space="preserve">10</t>
        </is>
      </c>
      <c r="F45" s="3">
        <v>2.99</v>
      </c>
      <c r="G45" s="3">
        <v>222.93</v>
      </c>
      <c r="H45" s="3">
        <f>ROUND(G45*1.1,2)</f>
      </c>
      <c r="I45" s="3">
        <f>'Your formulary'!$B$6</f>
      </c>
      <c r="J45" s="3">
        <f>ROUND((H45*IF(FALSE,'Your formulary'!$B$4,'Your formulary'!$B$3)-F45-'Your formulary'!$B$5-'Your formulary'!$B$6)*'Your formulary'!$B$2,2)</f>
      </c>
      <c r="K45" s="9" t="inlineStr">
        <is>
          <t xml:space="preserve">ANTI NAUSEANT</t>
        </is>
      </c>
    </row>
    <row r="46">
      <c r="A46" s="6" t="inlineStr">
        <is>
          <t xml:space="preserve">ANTIBIOTICS</t>
        </is>
      </c>
      <c r="B46" s="6"/>
      <c r="C46" s="6"/>
      <c r="D46" s="6"/>
      <c r="E46" s="6"/>
      <c r="F46" s="6"/>
      <c r="G46" s="6"/>
      <c r="H46" s="6"/>
      <c r="I46" s="6"/>
      <c r="J46" s="6"/>
      <c r="K46" s="6"/>
      <c r="L46" s="6"/>
    </row>
    <row r="47">
      <c r="B47" s="0" t="inlineStr">
        <is>
          <t xml:space="preserve">Cephalexin Capsules</t>
        </is>
      </c>
      <c r="C47" s="0" t="inlineStr">
        <is>
          <t xml:space="preserve">Keflex</t>
        </is>
      </c>
      <c r="D47" s="0" t="inlineStr">
        <is>
          <t xml:space="preserve">500mg</t>
        </is>
      </c>
      <c r="E47" s="0" t="inlineStr">
        <is>
          <t xml:space="preserve">30</t>
        </is>
      </c>
      <c r="F47" s="3">
        <v>5.89</v>
      </c>
      <c r="G47" s="3">
        <v>605.0</v>
      </c>
      <c r="H47" s="3">
        <f>ROUND(G47*1.1,2)</f>
      </c>
      <c r="I47" s="3">
        <f>'Your formulary'!$B$6</f>
      </c>
      <c r="J47" s="3">
        <f>ROUND((H47*IF(FALSE,'Your formulary'!$B$4,'Your formulary'!$B$3)-F47-'Your formulary'!$B$5-'Your formulary'!$B$6)*'Your formulary'!$B$2,2)</f>
      </c>
      <c r="K47" s="9" t="inlineStr">
        <is>
          <t xml:space="preserve">ANTIBIOTICS</t>
        </is>
      </c>
    </row>
    <row r="48">
      <c r="B48" s="0" t="inlineStr">
        <is>
          <t xml:space="preserve">Ciprofloxacin</t>
        </is>
      </c>
      <c r="C48" s="0" t="inlineStr">
        <is>
          <t xml:space="preserve">Cipro</t>
        </is>
      </c>
      <c r="D48" s="0" t="inlineStr">
        <is>
          <t xml:space="preserve">500mg</t>
        </is>
      </c>
      <c r="E48" s="0" t="inlineStr">
        <is>
          <t xml:space="preserve">20</t>
        </is>
      </c>
      <c r="F48" s="3">
        <v>9.39</v>
      </c>
      <c r="G48" s="3">
        <v>98.65</v>
      </c>
      <c r="H48" s="3">
        <f>ROUND(G48*1.1,2)</f>
      </c>
      <c r="I48" s="3">
        <f>'Your formulary'!$B$6</f>
      </c>
      <c r="J48" s="3">
        <f>ROUND((H48*IF(FALSE,'Your formulary'!$B$4,'Your formulary'!$B$3)-F48-'Your formulary'!$B$5-'Your formulary'!$B$6)*'Your formulary'!$B$2,2)</f>
      </c>
      <c r="K48" s="9" t="inlineStr">
        <is>
          <t xml:space="preserve">ANTIBIOTICS</t>
        </is>
      </c>
    </row>
    <row r="49">
      <c r="B49" s="0" t="inlineStr">
        <is>
          <t xml:space="preserve">Mupirocin cream</t>
        </is>
      </c>
      <c r="C49" s="0" t="inlineStr">
        <is>
          <t xml:space="preserve">Mupirocin</t>
        </is>
      </c>
      <c r="D49" s="0" t="inlineStr">
        <is>
          <t xml:space="preserve">2%</t>
        </is>
      </c>
      <c r="E49" s="0" t="inlineStr">
        <is>
          <t xml:space="preserve">30gm</t>
        </is>
      </c>
      <c r="F49" s="3">
        <v>34.2</v>
      </c>
      <c r="G49" s="3">
        <v>457.12</v>
      </c>
      <c r="H49" s="3">
        <f>ROUND(G49*1.1,2)</f>
      </c>
      <c r="I49" s="3">
        <f>'Your formulary'!$B$6</f>
      </c>
      <c r="J49" s="3">
        <f>ROUND((H49*IF(FALSE,'Your formulary'!$B$4,'Your formulary'!$B$3)-F49-'Your formulary'!$B$5-'Your formulary'!$B$6)*'Your formulary'!$B$2,2)</f>
      </c>
      <c r="K49" s="9" t="inlineStr">
        <is>
          <t xml:space="preserve">ANTIBIOTICS</t>
        </is>
      </c>
    </row>
    <row r="50">
      <c r="A50" s="6" t="inlineStr">
        <is>
          <t xml:space="preserve">CORTICOSTEROID</t>
        </is>
      </c>
      <c r="B50" s="6"/>
      <c r="C50" s="6"/>
      <c r="D50" s="6"/>
      <c r="E50" s="6"/>
      <c r="F50" s="6"/>
      <c r="G50" s="6"/>
      <c r="H50" s="6"/>
      <c r="I50" s="6"/>
      <c r="J50" s="6"/>
      <c r="K50" s="6"/>
      <c r="L50" s="6"/>
    </row>
    <row r="51">
      <c r="B51" s="0" t="inlineStr">
        <is>
          <t xml:space="preserve">Methylprednisolone dose pack</t>
        </is>
      </c>
      <c r="C51" s="0" t="inlineStr">
        <is>
          <t xml:space="preserve">Methylprednisolone</t>
        </is>
      </c>
      <c r="D51" s="0" t="inlineStr">
        <is>
          <t xml:space="preserve">4MG</t>
        </is>
      </c>
      <c r="E51" s="0" t="inlineStr">
        <is>
          <t xml:space="preserve">21</t>
        </is>
      </c>
      <c r="F51" s="3">
        <v>7.99</v>
      </c>
      <c r="G51" s="3">
        <v>38.1</v>
      </c>
      <c r="H51" s="3">
        <f>ROUND(G51*1.1,2)</f>
      </c>
      <c r="I51" s="3">
        <f>'Your formulary'!$B$6</f>
      </c>
      <c r="J51" s="3">
        <f>ROUND((H51*IF(FALSE,'Your formulary'!$B$4,'Your formulary'!$B$3)-F51-'Your formulary'!$B$5-'Your formulary'!$B$6)*'Your formulary'!$B$2,2)</f>
      </c>
      <c r="K51" s="9" t="inlineStr">
        <is>
          <t xml:space="preserve">CORTICOSTEROID</t>
        </is>
      </c>
    </row>
    <row r="52">
      <c r="A52" s="6" t="inlineStr">
        <is>
          <t xml:space="preserve">H2 HISTAMINE ANTAGONIST</t>
        </is>
      </c>
      <c r="B52" s="6"/>
      <c r="C52" s="6"/>
      <c r="D52" s="6"/>
      <c r="E52" s="6"/>
      <c r="F52" s="6"/>
      <c r="G52" s="6"/>
      <c r="H52" s="6"/>
      <c r="I52" s="6"/>
      <c r="J52" s="6"/>
      <c r="K52" s="6"/>
      <c r="L52" s="6"/>
    </row>
    <row r="53">
      <c r="B53" s="0" t="inlineStr">
        <is>
          <t xml:space="preserve">Ranitidine Tablets</t>
        </is>
      </c>
      <c r="C53" s="0" t="inlineStr">
        <is>
          <t xml:space="preserve">Zantac</t>
        </is>
      </c>
      <c r="D53" s="0" t="inlineStr">
        <is>
          <t xml:space="preserve">150mg</t>
        </is>
      </c>
      <c r="E53" s="0" t="inlineStr">
        <is>
          <t xml:space="preserve">120</t>
        </is>
      </c>
      <c r="F53" s="3">
        <v>0.0</v>
      </c>
      <c r="G53" s="3">
        <v>187.2</v>
      </c>
      <c r="H53" s="3">
        <f>ROUND(G53*1.1,2)</f>
      </c>
      <c r="I53" s="3">
        <f>'Your formulary'!$B$6</f>
      </c>
      <c r="J53" s="3">
        <f>ROUND((H53*IF(FALSE,'Your formulary'!$B$4,'Your formulary'!$B$3)-F53-'Your formulary'!$B$5-'Your formulary'!$B$6)*'Your formulary'!$B$2,2)</f>
      </c>
      <c r="K53" s="9" t="inlineStr">
        <is>
          <t xml:space="preserve">H2 HISTAMINE ANTAGONIST</t>
        </is>
      </c>
    </row>
    <row r="54">
      <c r="B54" s="0" t="inlineStr">
        <is>
          <t xml:space="preserve">Ranitidine Tablets</t>
        </is>
      </c>
      <c r="C54" s="0" t="inlineStr">
        <is>
          <t xml:space="preserve">Zantac</t>
        </is>
      </c>
      <c r="D54" s="0" t="inlineStr">
        <is>
          <t xml:space="preserve">150mg</t>
        </is>
      </c>
      <c r="E54" s="0" t="inlineStr">
        <is>
          <t xml:space="preserve">60</t>
        </is>
      </c>
      <c r="F54" s="3">
        <v>0.0</v>
      </c>
      <c r="G54" s="3">
        <v>93.6</v>
      </c>
      <c r="H54" s="3">
        <f>ROUND(G54*1.1,2)</f>
      </c>
      <c r="I54" s="3">
        <f>'Your formulary'!$B$6</f>
      </c>
      <c r="J54" s="3">
        <f>ROUND((H54*IF(FALSE,'Your formulary'!$B$4,'Your formulary'!$B$3)-F54-'Your formulary'!$B$5-'Your formulary'!$B$6)*'Your formulary'!$B$2,2)</f>
      </c>
      <c r="K54" s="9" t="inlineStr">
        <is>
          <t xml:space="preserve">H2 HISTAMINE ANTAGONIST</t>
        </is>
      </c>
    </row>
    <row r="55">
      <c r="A55" s="6" t="inlineStr">
        <is>
          <t xml:space="preserve">MUSCLE RELAXANTS</t>
        </is>
      </c>
      <c r="B55" s="6"/>
      <c r="C55" s="6"/>
      <c r="D55" s="6"/>
      <c r="E55" s="6"/>
      <c r="F55" s="6"/>
      <c r="G55" s="6"/>
      <c r="H55" s="6"/>
      <c r="I55" s="6"/>
      <c r="J55" s="6"/>
      <c r="K55" s="6"/>
      <c r="L55" s="6"/>
    </row>
    <row r="56">
      <c r="A56" s="9" t="inlineStr">
        <is>
          <t xml:space="preserve">on list</t>
        </is>
      </c>
      <c r="B56" s="0" t="inlineStr">
        <is>
          <t xml:space="preserve">Baclofen</t>
        </is>
      </c>
      <c r="C56" s="0" t="inlineStr">
        <is>
          <t xml:space="preserve">Baclofen</t>
        </is>
      </c>
      <c r="D56" s="0" t="inlineStr">
        <is>
          <t xml:space="preserve">10mg</t>
        </is>
      </c>
      <c r="E56" s="0" t="inlineStr">
        <is>
          <t xml:space="preserve">60</t>
        </is>
      </c>
      <c r="F56" s="3">
        <v>59.4</v>
      </c>
      <c r="G56" s="3">
        <v>428.16</v>
      </c>
      <c r="H56" s="3">
        <f>ROUND(G56*1.1,2)</f>
      </c>
      <c r="I56" s="3">
        <f>'Your formulary'!$B$6</f>
      </c>
      <c r="J56" s="3">
        <f>ROUND((H56*IF(FALSE,'Your formulary'!$B$4,'Your formulary'!$B$3)-F56-'Your formulary'!$B$5-'Your formulary'!$B$6)*'Your formulary'!$B$2,2)</f>
      </c>
      <c r="K56" s="9" t="inlineStr">
        <is>
          <t xml:space="preserve">MUSCLE RELAXANTS</t>
        </is>
      </c>
    </row>
    <row r="57">
      <c r="A57" s="9" t="inlineStr">
        <is>
          <t xml:space="preserve">on list</t>
        </is>
      </c>
      <c r="B57" s="0" t="inlineStr">
        <is>
          <t xml:space="preserve">Baclofen</t>
        </is>
      </c>
      <c r="C57" s="0" t="inlineStr">
        <is>
          <t xml:space="preserve">Baclofen</t>
        </is>
      </c>
      <c r="D57" s="0" t="inlineStr">
        <is>
          <t xml:space="preserve">20mg</t>
        </is>
      </c>
      <c r="E57" s="0" t="inlineStr">
        <is>
          <t xml:space="preserve">60</t>
        </is>
      </c>
      <c r="F57" s="3">
        <v>13.19</v>
      </c>
      <c r="G57" s="3">
        <v>307.8</v>
      </c>
      <c r="H57" s="3">
        <f>ROUND(G57*1.1,2)</f>
      </c>
      <c r="I57" s="3">
        <f>'Your formulary'!$B$6</f>
      </c>
      <c r="J57" s="3">
        <f>ROUND((H57*IF(FALSE,'Your formulary'!$B$4,'Your formulary'!$B$3)-F57-'Your formulary'!$B$5-'Your formulary'!$B$6)*'Your formulary'!$B$2,2)</f>
      </c>
      <c r="K57" s="9" t="inlineStr">
        <is>
          <t xml:space="preserve">MUSCLE RELAXANTS</t>
        </is>
      </c>
    </row>
    <row r="58">
      <c r="A58" s="9" t="inlineStr">
        <is>
          <t xml:space="preserve">on list</t>
        </is>
      </c>
      <c r="B58" s="0" t="inlineStr">
        <is>
          <t xml:space="preserve">Baclofen</t>
        </is>
      </c>
      <c r="C58" s="0" t="inlineStr">
        <is>
          <t xml:space="preserve">Baclofen</t>
        </is>
      </c>
      <c r="D58" s="0" t="inlineStr">
        <is>
          <t xml:space="preserve">10mg</t>
        </is>
      </c>
      <c r="E58" s="0" t="inlineStr">
        <is>
          <t xml:space="preserve">90</t>
        </is>
      </c>
      <c r="F58" s="3">
        <v>89.1</v>
      </c>
      <c r="G58" s="3">
        <v>642.23</v>
      </c>
      <c r="H58" s="3">
        <f>ROUND(G58*1.1,2)</f>
      </c>
      <c r="I58" s="3">
        <f>'Your formulary'!$B$6</f>
      </c>
      <c r="J58" s="3">
        <f>ROUND((H58*IF(FALSE,'Your formulary'!$B$4,'Your formulary'!$B$3)-F58-'Your formulary'!$B$5-'Your formulary'!$B$6)*'Your formulary'!$B$2,2)</f>
      </c>
      <c r="K58" s="9" t="inlineStr">
        <is>
          <t xml:space="preserve">MUSCLE RELAXANTS</t>
        </is>
      </c>
    </row>
    <row r="59">
      <c r="A59" s="9" t="inlineStr">
        <is>
          <t xml:space="preserve">on list</t>
        </is>
      </c>
      <c r="B59" s="0" t="inlineStr">
        <is>
          <t xml:space="preserve">Baclofen</t>
        </is>
      </c>
      <c r="C59" s="0" t="inlineStr">
        <is>
          <t xml:space="preserve">Baclofen</t>
        </is>
      </c>
      <c r="D59" s="0" t="inlineStr">
        <is>
          <t xml:space="preserve">20mg</t>
        </is>
      </c>
      <c r="E59" s="0" t="inlineStr">
        <is>
          <t xml:space="preserve">90</t>
        </is>
      </c>
      <c r="F59" s="3">
        <v>31.5</v>
      </c>
      <c r="G59" s="3">
        <v>465.01</v>
      </c>
      <c r="H59" s="3">
        <f>ROUND(G59*1.1,2)</f>
      </c>
      <c r="I59" s="3">
        <f>'Your formulary'!$B$6</f>
      </c>
      <c r="J59" s="3">
        <f>ROUND((H59*IF(FALSE,'Your formulary'!$B$4,'Your formulary'!$B$3)-F59-'Your formulary'!$B$5-'Your formulary'!$B$6)*'Your formulary'!$B$2,2)</f>
      </c>
      <c r="K59" s="9" t="inlineStr">
        <is>
          <t xml:space="preserve">MUSCLE RELAXANTS</t>
        </is>
      </c>
    </row>
    <row r="60">
      <c r="B60" s="0" t="inlineStr">
        <is>
          <t xml:space="preserve">Carisoprodol Tablets</t>
        </is>
      </c>
      <c r="C60" s="0" t="inlineStr">
        <is>
          <t xml:space="preserve">Soma</t>
        </is>
      </c>
      <c r="D60" s="0" t="inlineStr">
        <is>
          <t xml:space="preserve">350mg</t>
        </is>
      </c>
      <c r="E60" s="0" t="inlineStr">
        <is>
          <t xml:space="preserve">120</t>
        </is>
      </c>
      <c r="F60" s="3">
        <v>10.79</v>
      </c>
      <c r="G60" s="3">
        <v>72.0</v>
      </c>
      <c r="H60" s="3">
        <f>ROUND(G60*1.1,2)</f>
      </c>
      <c r="I60" s="3">
        <f>'Your formulary'!$B$6</f>
      </c>
      <c r="J60" s="3">
        <f>ROUND((H60*IF(FALSE,'Your formulary'!$B$4,'Your formulary'!$B$3)-F60-'Your formulary'!$B$5-'Your formulary'!$B$6)*'Your formulary'!$B$2,2)</f>
      </c>
      <c r="K60" s="9" t="inlineStr">
        <is>
          <t xml:space="preserve">MUSCLE RELAXANTS</t>
        </is>
      </c>
    </row>
    <row r="61">
      <c r="B61" s="0" t="inlineStr">
        <is>
          <t xml:space="preserve">Carisoprodol Tablets</t>
        </is>
      </c>
      <c r="C61" s="0" t="inlineStr">
        <is>
          <t xml:space="preserve">Soma</t>
        </is>
      </c>
      <c r="D61" s="0" t="inlineStr">
        <is>
          <t xml:space="preserve">350mg</t>
        </is>
      </c>
      <c r="E61" s="0" t="inlineStr">
        <is>
          <t xml:space="preserve">60</t>
        </is>
      </c>
      <c r="F61" s="3">
        <v>5.39</v>
      </c>
      <c r="G61" s="3">
        <v>36.0</v>
      </c>
      <c r="H61" s="3">
        <f>ROUND(G61*1.1,2)</f>
      </c>
      <c r="I61" s="3">
        <f>'Your formulary'!$B$6</f>
      </c>
      <c r="J61" s="3">
        <f>ROUND((H61*IF(FALSE,'Your formulary'!$B$4,'Your formulary'!$B$3)-F61-'Your formulary'!$B$5-'Your formulary'!$B$6)*'Your formulary'!$B$2,2)</f>
      </c>
      <c r="K61" s="9" t="inlineStr">
        <is>
          <t xml:space="preserve">MUSCLE RELAXANTS</t>
        </is>
      </c>
    </row>
    <row r="62">
      <c r="B62" s="0" t="inlineStr">
        <is>
          <t xml:space="preserve">Carisoprodol Tablets</t>
        </is>
      </c>
      <c r="C62" s="0" t="inlineStr">
        <is>
          <t xml:space="preserve">Soma</t>
        </is>
      </c>
      <c r="D62" s="0" t="inlineStr">
        <is>
          <t xml:space="preserve">350mg</t>
        </is>
      </c>
      <c r="E62" s="0" t="inlineStr">
        <is>
          <t xml:space="preserve">90</t>
        </is>
      </c>
      <c r="F62" s="3">
        <v>8.09</v>
      </c>
      <c r="G62" s="3">
        <v>54.0</v>
      </c>
      <c r="H62" s="3">
        <f>ROUND(G62*1.1,2)</f>
      </c>
      <c r="I62" s="3">
        <f>'Your formulary'!$B$6</f>
      </c>
      <c r="J62" s="3">
        <f>ROUND((H62*IF(FALSE,'Your formulary'!$B$4,'Your formulary'!$B$3)-F62-'Your formulary'!$B$5-'Your formulary'!$B$6)*'Your formulary'!$B$2,2)</f>
      </c>
      <c r="K62" s="9" t="inlineStr">
        <is>
          <t xml:space="preserve">MUSCLE RELAXANTS</t>
        </is>
      </c>
    </row>
    <row r="63">
      <c r="A63" s="9" t="inlineStr">
        <is>
          <t xml:space="preserve">on list</t>
        </is>
      </c>
      <c r="B63" s="0" t="inlineStr">
        <is>
          <t xml:space="preserve">Cyclobenzaprine</t>
        </is>
      </c>
      <c r="C63" s="0" t="inlineStr">
        <is>
          <t xml:space="preserve">Cyclobenzaprine</t>
        </is>
      </c>
      <c r="D63" s="0" t="inlineStr">
        <is>
          <t xml:space="preserve">10mg</t>
        </is>
      </c>
      <c r="E63" s="0" t="inlineStr">
        <is>
          <t xml:space="preserve">90</t>
        </is>
      </c>
      <c r="F63" s="3">
        <v>89.1</v>
      </c>
      <c r="G63" s="3">
        <v>542.08</v>
      </c>
      <c r="H63" s="3">
        <f>ROUND(G63*1.1,2)</f>
      </c>
      <c r="I63" s="3">
        <f>'Your formulary'!$B$6</f>
      </c>
      <c r="J63" s="3">
        <f>ROUND((H63*IF(FALSE,'Your formulary'!$B$4,'Your formulary'!$B$3)-F63-'Your formulary'!$B$5-'Your formulary'!$B$6)*'Your formulary'!$B$2,2)</f>
      </c>
      <c r="K63" s="9" t="inlineStr">
        <is>
          <t xml:space="preserve">MUSCLE RELAXANTS</t>
        </is>
      </c>
    </row>
    <row r="64">
      <c r="B64" s="0" t="inlineStr">
        <is>
          <t xml:space="preserve">Cyclobenzaprine Tablets</t>
        </is>
      </c>
      <c r="C64" s="0" t="inlineStr">
        <is>
          <t xml:space="preserve">Fexmid</t>
        </is>
      </c>
      <c r="D64" s="0" t="inlineStr">
        <is>
          <t xml:space="preserve">7.5mg</t>
        </is>
      </c>
      <c r="E64" s="0" t="inlineStr">
        <is>
          <t xml:space="preserve">30</t>
        </is>
      </c>
      <c r="F64" s="3">
        <v>24.99</v>
      </c>
      <c r="G64" s="3">
        <v>188.4</v>
      </c>
      <c r="H64" s="3">
        <f>ROUND(G64*1.1,2)</f>
      </c>
      <c r="I64" s="3">
        <f>'Your formulary'!$B$6</f>
      </c>
      <c r="J64" s="3">
        <f>ROUND((H64*IF(FALSE,'Your formulary'!$B$4,'Your formulary'!$B$3)-F64-'Your formulary'!$B$5-'Your formulary'!$B$6)*'Your formulary'!$B$2,2)</f>
      </c>
      <c r="K64" s="9" t="inlineStr">
        <is>
          <t xml:space="preserve">MUSCLE RELAXANTS</t>
        </is>
      </c>
    </row>
    <row r="65">
      <c r="B65" s="0" t="inlineStr">
        <is>
          <t xml:space="preserve">Cyclobenzaprine Tablets</t>
        </is>
      </c>
      <c r="C65" s="0" t="inlineStr">
        <is>
          <t xml:space="preserve">Cyclobenzaprine Tablets</t>
        </is>
      </c>
      <c r="D65" s="0" t="inlineStr">
        <is>
          <t xml:space="preserve">15mg</t>
        </is>
      </c>
      <c r="E65" s="0" t="inlineStr">
        <is>
          <t xml:space="preserve">30</t>
        </is>
      </c>
      <c r="F65" s="3">
        <v>49.0</v>
      </c>
      <c r="G65" s="3">
        <v>1358.4</v>
      </c>
      <c r="H65" s="3">
        <f>ROUND(G65*1.1,2)</f>
      </c>
      <c r="I65" s="3">
        <f>'Your formulary'!$B$6</f>
      </c>
      <c r="J65" s="3">
        <f>ROUND((H65*IF(FALSE,'Your formulary'!$B$4,'Your formulary'!$B$3)-F65-'Your formulary'!$B$5-'Your formulary'!$B$6)*'Your formulary'!$B$2,2)</f>
      </c>
      <c r="K65" s="9" t="inlineStr">
        <is>
          <t xml:space="preserve">MUSCLE RELAXANTS</t>
        </is>
      </c>
    </row>
    <row r="66">
      <c r="B66" s="0" t="inlineStr">
        <is>
          <t xml:space="preserve">Cyclobenzaprine Tablets</t>
        </is>
      </c>
      <c r="C66" s="0" t="inlineStr">
        <is>
          <t xml:space="preserve">Cyclobenzaprine Tablets</t>
        </is>
      </c>
      <c r="D66" s="0" t="inlineStr">
        <is>
          <t xml:space="preserve">15mg</t>
        </is>
      </c>
      <c r="E66" s="0" t="inlineStr">
        <is>
          <t xml:space="preserve">30</t>
        </is>
      </c>
      <c r="F66" s="3">
        <v>15.99</v>
      </c>
      <c r="G66" s="3">
        <v>326.1</v>
      </c>
      <c r="H66" s="3">
        <f>ROUND(G66*1.1,2)</f>
      </c>
      <c r="I66" s="3">
        <f>'Your formulary'!$B$6</f>
      </c>
      <c r="J66" s="3">
        <f>ROUND((H66*IF(FALSE,'Your formulary'!$B$4,'Your formulary'!$B$3)-F66-'Your formulary'!$B$5-'Your formulary'!$B$6)*'Your formulary'!$B$2,2)</f>
      </c>
      <c r="K66" s="9" t="inlineStr">
        <is>
          <t xml:space="preserve">MUSCLE RELAXANTS</t>
        </is>
      </c>
    </row>
    <row r="67">
      <c r="B67" s="0" t="inlineStr">
        <is>
          <t xml:space="preserve">Cyclobenzaprine Tablets</t>
        </is>
      </c>
      <c r="C67" s="0" t="inlineStr">
        <is>
          <t xml:space="preserve">Fexmid</t>
        </is>
      </c>
      <c r="D67" s="0" t="inlineStr">
        <is>
          <t xml:space="preserve">7.5mg</t>
        </is>
      </c>
      <c r="E67" s="0" t="inlineStr">
        <is>
          <t xml:space="preserve">60</t>
        </is>
      </c>
      <c r="F67" s="3">
        <v>49.99</v>
      </c>
      <c r="G67" s="3">
        <v>376.8</v>
      </c>
      <c r="H67" s="3">
        <f>ROUND(G67*1.1,2)</f>
      </c>
      <c r="I67" s="3">
        <f>'Your formulary'!$B$6</f>
      </c>
      <c r="J67" s="3">
        <f>ROUND((H67*IF(FALSE,'Your formulary'!$B$4,'Your formulary'!$B$3)-F67-'Your formulary'!$B$5-'Your formulary'!$B$6)*'Your formulary'!$B$2,2)</f>
      </c>
      <c r="K67" s="9" t="inlineStr">
        <is>
          <t xml:space="preserve">MUSCLE RELAXANTS</t>
        </is>
      </c>
    </row>
    <row r="68">
      <c r="B68" s="0" t="inlineStr">
        <is>
          <t xml:space="preserve">Cyclobenzaprine Tablets</t>
        </is>
      </c>
      <c r="C68" s="0" t="inlineStr">
        <is>
          <t xml:space="preserve">Cyclobenzaprine Tablets</t>
        </is>
      </c>
      <c r="D68" s="0" t="inlineStr">
        <is>
          <t xml:space="preserve">15mg</t>
        </is>
      </c>
      <c r="E68" s="0" t="inlineStr">
        <is>
          <t xml:space="preserve">60</t>
        </is>
      </c>
      <c r="F68" s="3">
        <v>31.98</v>
      </c>
      <c r="G68" s="3">
        <v>652.2</v>
      </c>
      <c r="H68" s="3">
        <f>ROUND(G68*1.1,2)</f>
      </c>
      <c r="I68" s="3">
        <f>'Your formulary'!$B$6</f>
      </c>
      <c r="J68" s="3">
        <f>ROUND((H68*IF(FALSE,'Your formulary'!$B$4,'Your formulary'!$B$3)-F68-'Your formulary'!$B$5-'Your formulary'!$B$6)*'Your formulary'!$B$2,2)</f>
      </c>
      <c r="K68" s="9" t="inlineStr">
        <is>
          <t xml:space="preserve">MUSCLE RELAXANTS</t>
        </is>
      </c>
    </row>
    <row r="69">
      <c r="B69" s="0" t="inlineStr">
        <is>
          <t xml:space="preserve">Cyclobenzaprine Tablets</t>
        </is>
      </c>
      <c r="C69" s="0" t="inlineStr">
        <is>
          <t xml:space="preserve">Cyclobenzaprine Tablets</t>
        </is>
      </c>
      <c r="D69" s="0" t="inlineStr">
        <is>
          <t xml:space="preserve">15mg</t>
        </is>
      </c>
      <c r="E69" s="0" t="inlineStr">
        <is>
          <t xml:space="preserve">60</t>
        </is>
      </c>
      <c r="F69" s="3">
        <v>98.0</v>
      </c>
      <c r="G69" s="3">
        <v>2716.8</v>
      </c>
      <c r="H69" s="3">
        <f>ROUND(G69*1.1,2)</f>
      </c>
      <c r="I69" s="3">
        <f>'Your formulary'!$B$6</f>
      </c>
      <c r="J69" s="3">
        <f>ROUND((H69*IF(FALSE,'Your formulary'!$B$4,'Your formulary'!$B$3)-F69-'Your formulary'!$B$5-'Your formulary'!$B$6)*'Your formulary'!$B$2,2)</f>
      </c>
      <c r="K69" s="9" t="inlineStr">
        <is>
          <t xml:space="preserve">MUSCLE RELAXANTS</t>
        </is>
      </c>
    </row>
    <row r="70">
      <c r="B70" s="0" t="inlineStr">
        <is>
          <t xml:space="preserve">Cyclobenzaprine Tablets</t>
        </is>
      </c>
      <c r="C70" s="0" t="inlineStr">
        <is>
          <t xml:space="preserve">Flexeril</t>
        </is>
      </c>
      <c r="D70" s="0" t="inlineStr">
        <is>
          <t xml:space="preserve">10mg</t>
        </is>
      </c>
      <c r="E70" s="0" t="inlineStr">
        <is>
          <t xml:space="preserve">60</t>
        </is>
      </c>
      <c r="F70" s="3">
        <v>3.99</v>
      </c>
      <c r="G70" s="3">
        <v>98.4</v>
      </c>
      <c r="H70" s="3">
        <f>ROUND(G70*1.1,2)</f>
      </c>
      <c r="I70" s="3">
        <f>'Your formulary'!$B$6</f>
      </c>
      <c r="J70" s="3">
        <f>ROUND((H70*IF(FALSE,'Your formulary'!$B$4,'Your formulary'!$B$3)-F70-'Your formulary'!$B$5-'Your formulary'!$B$6)*'Your formulary'!$B$2,2)</f>
      </c>
      <c r="K70" s="9" t="inlineStr">
        <is>
          <t xml:space="preserve">MUSCLE RELAXANTS</t>
        </is>
      </c>
    </row>
    <row r="71">
      <c r="B71" s="0" t="inlineStr">
        <is>
          <t xml:space="preserve">Cyclobenzaprine Tablets</t>
        </is>
      </c>
      <c r="C71" s="0" t="inlineStr">
        <is>
          <t xml:space="preserve">Cyclobenzaprine Tablets</t>
        </is>
      </c>
      <c r="D71" s="0" t="inlineStr">
        <is>
          <t xml:space="preserve">15mg</t>
        </is>
      </c>
      <c r="E71" s="0" t="inlineStr">
        <is>
          <t xml:space="preserve">90</t>
        </is>
      </c>
      <c r="F71" s="3">
        <v>147.0</v>
      </c>
      <c r="G71" s="3">
        <v>4075.2</v>
      </c>
      <c r="H71" s="3">
        <f>ROUND(G71*1.1,2)</f>
      </c>
      <c r="I71" s="3">
        <f>'Your formulary'!$B$6</f>
      </c>
      <c r="J71" s="3">
        <f>ROUND((H71*IF(FALSE,'Your formulary'!$B$4,'Your formulary'!$B$3)-F71-'Your formulary'!$B$5-'Your formulary'!$B$6)*'Your formulary'!$B$2,2)</f>
      </c>
      <c r="K71" s="9" t="inlineStr">
        <is>
          <t xml:space="preserve">MUSCLE RELAXANTS</t>
        </is>
      </c>
    </row>
    <row r="72">
      <c r="B72" s="0" t="inlineStr">
        <is>
          <t xml:space="preserve">Cyclobenzaprine Tablets</t>
        </is>
      </c>
      <c r="C72" s="0" t="inlineStr">
        <is>
          <t xml:space="preserve">Fexmid</t>
        </is>
      </c>
      <c r="D72" s="0" t="inlineStr">
        <is>
          <t xml:space="preserve">7.5mg</t>
        </is>
      </c>
      <c r="E72" s="0" t="inlineStr">
        <is>
          <t xml:space="preserve">90</t>
        </is>
      </c>
      <c r="F72" s="3">
        <v>74.95</v>
      </c>
      <c r="G72" s="3">
        <v>565.2</v>
      </c>
      <c r="H72" s="3">
        <f>ROUND(G72*1.1,2)</f>
      </c>
      <c r="I72" s="3">
        <f>'Your formulary'!$B$6</f>
      </c>
      <c r="J72" s="3">
        <f>ROUND((H72*IF(FALSE,'Your formulary'!$B$4,'Your formulary'!$B$3)-F72-'Your formulary'!$B$5-'Your formulary'!$B$6)*'Your formulary'!$B$2,2)</f>
      </c>
      <c r="K72" s="9" t="inlineStr">
        <is>
          <t xml:space="preserve">MUSCLE RELAXANTS</t>
        </is>
      </c>
    </row>
    <row r="73">
      <c r="B73" s="0" t="inlineStr">
        <is>
          <t xml:space="preserve">Cyclobenzaprine Tablets</t>
        </is>
      </c>
      <c r="C73" s="0" t="inlineStr">
        <is>
          <t xml:space="preserve">Cyclobenzaprine Tablets</t>
        </is>
      </c>
      <c r="D73" s="0" t="inlineStr">
        <is>
          <t xml:space="preserve">15mg</t>
        </is>
      </c>
      <c r="E73" s="0" t="inlineStr">
        <is>
          <t xml:space="preserve">90</t>
        </is>
      </c>
      <c r="F73" s="3">
        <v>95.94</v>
      </c>
      <c r="G73" s="3">
        <v>978.3</v>
      </c>
      <c r="H73" s="3">
        <f>ROUND(G73*1.1,2)</f>
      </c>
      <c r="I73" s="3">
        <f>'Your formulary'!$B$6</f>
      </c>
      <c r="J73" s="3">
        <f>ROUND((H73*IF(FALSE,'Your formulary'!$B$4,'Your formulary'!$B$3)-F73-'Your formulary'!$B$5-'Your formulary'!$B$6)*'Your formulary'!$B$2,2)</f>
      </c>
      <c r="K73" s="9" t="inlineStr">
        <is>
          <t xml:space="preserve">MUSCLE RELAXANTS</t>
        </is>
      </c>
    </row>
    <row r="74">
      <c r="B74" s="0" t="inlineStr">
        <is>
          <t xml:space="preserve">Metaxalone</t>
        </is>
      </c>
      <c r="C74" s="0" t="inlineStr">
        <is>
          <t xml:space="preserve">Metaxalone</t>
        </is>
      </c>
      <c r="D74" s="0" t="inlineStr">
        <is>
          <t xml:space="preserve">800mg</t>
        </is>
      </c>
      <c r="E74" s="0" t="inlineStr">
        <is>
          <t xml:space="preserve">90</t>
        </is>
      </c>
      <c r="F74" s="3">
        <v>72.0</v>
      </c>
      <c r="G74" s="3">
        <v>592.96</v>
      </c>
      <c r="H74" s="3">
        <f>ROUND(G74*1.1,2)</f>
      </c>
      <c r="I74" s="3">
        <f>'Your formulary'!$B$6</f>
      </c>
      <c r="J74" s="3">
        <f>ROUND((H74*IF(FALSE,'Your formulary'!$B$4,'Your formulary'!$B$3)-F74-'Your formulary'!$B$5-'Your formulary'!$B$6)*'Your formulary'!$B$2,2)</f>
      </c>
      <c r="K74" s="9" t="inlineStr">
        <is>
          <t xml:space="preserve">MUSCLE RELAXANTS</t>
        </is>
      </c>
    </row>
    <row r="75">
      <c r="B75" s="0" t="inlineStr">
        <is>
          <t xml:space="preserve">Methocarbamol</t>
        </is>
      </c>
      <c r="C75" s="0" t="inlineStr">
        <is>
          <t xml:space="preserve">Methocarbamol</t>
        </is>
      </c>
      <c r="D75" s="0" t="inlineStr">
        <is>
          <t xml:space="preserve">500mg</t>
        </is>
      </c>
      <c r="E75" s="0" t="inlineStr">
        <is>
          <t xml:space="preserve">100</t>
        </is>
      </c>
      <c r="F75" s="3">
        <v>120.0</v>
      </c>
      <c r="G75" s="3">
        <v>1500.0</v>
      </c>
      <c r="H75" s="3">
        <f>ROUND(G75*1.1,2)</f>
      </c>
      <c r="I75" s="3">
        <f>'Your formulary'!$B$6</f>
      </c>
      <c r="J75" s="3">
        <f>ROUND((H75*IF(FALSE,'Your formulary'!$B$4,'Your formulary'!$B$3)-F75-'Your formulary'!$B$5-'Your formulary'!$B$6)*'Your formulary'!$B$2,2)</f>
      </c>
      <c r="K75" s="9" t="inlineStr">
        <is>
          <t xml:space="preserve">MUSCLE RELAXANTS</t>
        </is>
      </c>
    </row>
    <row r="76">
      <c r="B76" s="0" t="inlineStr">
        <is>
          <t xml:space="preserve">Methocarbamol</t>
        </is>
      </c>
      <c r="C76" s="0" t="inlineStr">
        <is>
          <t xml:space="preserve">Robaxin</t>
        </is>
      </c>
      <c r="D76" s="0" t="inlineStr">
        <is>
          <t xml:space="preserve">500mg</t>
        </is>
      </c>
      <c r="E76" s="0" t="inlineStr">
        <is>
          <t xml:space="preserve">30</t>
        </is>
      </c>
      <c r="F76" s="3">
        <v>4.69</v>
      </c>
      <c r="G76" s="3">
        <v>14.4</v>
      </c>
      <c r="H76" s="3">
        <f>ROUND(G76*1.1,2)</f>
      </c>
      <c r="I76" s="3">
        <f>'Your formulary'!$B$6</f>
      </c>
      <c r="J76" s="3">
        <f>ROUND((H76*IF(FALSE,'Your formulary'!$B$4,'Your formulary'!$B$3)-F76-'Your formulary'!$B$5-'Your formulary'!$B$6)*'Your formulary'!$B$2,2)</f>
      </c>
      <c r="K76" s="9" t="inlineStr">
        <is>
          <t xml:space="preserve">MUSCLE RELAXANTS</t>
        </is>
      </c>
    </row>
    <row r="77">
      <c r="B77" s="0" t="inlineStr">
        <is>
          <t xml:space="preserve">Methocarbamol</t>
        </is>
      </c>
      <c r="C77" s="0" t="inlineStr">
        <is>
          <t xml:space="preserve">Robaxin</t>
        </is>
      </c>
      <c r="D77" s="0" t="inlineStr">
        <is>
          <t xml:space="preserve">750mg</t>
        </is>
      </c>
      <c r="E77" s="0" t="inlineStr">
        <is>
          <t xml:space="preserve">30</t>
        </is>
      </c>
      <c r="F77" s="3">
        <v>5.29</v>
      </c>
      <c r="G77" s="3">
        <v>20.7</v>
      </c>
      <c r="H77" s="3">
        <f>ROUND(G77*1.1,2)</f>
      </c>
      <c r="I77" s="3">
        <f>'Your formulary'!$B$6</f>
      </c>
      <c r="J77" s="3">
        <f>ROUND((H77*IF(FALSE,'Your formulary'!$B$4,'Your formulary'!$B$3)-F77-'Your formulary'!$B$5-'Your formulary'!$B$6)*'Your formulary'!$B$2,2)</f>
      </c>
      <c r="K77" s="9" t="inlineStr">
        <is>
          <t xml:space="preserve">MUSCLE RELAXANTS</t>
        </is>
      </c>
    </row>
    <row r="78">
      <c r="B78" s="0" t="inlineStr">
        <is>
          <t xml:space="preserve">Methocarbamol</t>
        </is>
      </c>
      <c r="C78" s="0" t="inlineStr">
        <is>
          <t xml:space="preserve">Robaxin</t>
        </is>
      </c>
      <c r="D78" s="0" t="inlineStr">
        <is>
          <t xml:space="preserve">750mg</t>
        </is>
      </c>
      <c r="E78" s="0" t="inlineStr">
        <is>
          <t xml:space="preserve">60</t>
        </is>
      </c>
      <c r="F78" s="3">
        <v>10.59</v>
      </c>
      <c r="G78" s="3">
        <v>41.4</v>
      </c>
      <c r="H78" s="3">
        <f>ROUND(G78*1.1,2)</f>
      </c>
      <c r="I78" s="3">
        <f>'Your formulary'!$B$6</f>
      </c>
      <c r="J78" s="3">
        <f>ROUND((H78*IF(FALSE,'Your formulary'!$B$4,'Your formulary'!$B$3)-F78-'Your formulary'!$B$5-'Your formulary'!$B$6)*'Your formulary'!$B$2,2)</f>
      </c>
      <c r="K78" s="9" t="inlineStr">
        <is>
          <t xml:space="preserve">MUSCLE RELAXANTS</t>
        </is>
      </c>
    </row>
    <row r="79">
      <c r="A79" s="9" t="inlineStr">
        <is>
          <t xml:space="preserve">on list</t>
        </is>
      </c>
      <c r="B79" s="0" t="inlineStr">
        <is>
          <t xml:space="preserve">Methocarbamol</t>
        </is>
      </c>
      <c r="C79" s="0" t="inlineStr">
        <is>
          <t xml:space="preserve">Methocarbamol</t>
        </is>
      </c>
      <c r="D79" s="0" t="inlineStr">
        <is>
          <t xml:space="preserve">500 Mg</t>
        </is>
      </c>
      <c r="E79" s="0" t="inlineStr">
        <is>
          <t xml:space="preserve">90</t>
        </is>
      </c>
      <c r="F79" s="3">
        <v>8.1</v>
      </c>
      <c r="G79" s="3">
        <v>47.77</v>
      </c>
      <c r="H79" s="3">
        <f>ROUND(G79*1.1,2)</f>
      </c>
      <c r="I79" s="3">
        <f>'Your formulary'!$B$6</f>
      </c>
      <c r="J79" s="3">
        <f>ROUND((H79*IF(FALSE,'Your formulary'!$B$4,'Your formulary'!$B$3)-F79-'Your formulary'!$B$5-'Your formulary'!$B$6)*'Your formulary'!$B$2,2)</f>
      </c>
      <c r="K79" s="9" t="inlineStr">
        <is>
          <t xml:space="preserve">MUSCLE RELAXANTS</t>
        </is>
      </c>
    </row>
    <row r="80">
      <c r="B80" s="0" t="inlineStr">
        <is>
          <t xml:space="preserve">Tizanidine</t>
        </is>
      </c>
      <c r="C80" s="0" t="inlineStr">
        <is>
          <t xml:space="preserve">Zanaflex</t>
        </is>
      </c>
      <c r="D80" s="0" t="inlineStr">
        <is>
          <t xml:space="preserve">4mg</t>
        </is>
      </c>
      <c r="E80" s="0" t="inlineStr">
        <is>
          <t xml:space="preserve">120</t>
        </is>
      </c>
      <c r="F80" s="3">
        <v>8.39</v>
      </c>
      <c r="G80" s="3">
        <v>176.4</v>
      </c>
      <c r="H80" s="3">
        <f>ROUND(G80*1.1,2)</f>
      </c>
      <c r="I80" s="3">
        <f>'Your formulary'!$B$6</f>
      </c>
      <c r="J80" s="3">
        <f>ROUND((H80*IF(FALSE,'Your formulary'!$B$4,'Your formulary'!$B$3)-F80-'Your formulary'!$B$5-'Your formulary'!$B$6)*'Your formulary'!$B$2,2)</f>
      </c>
      <c r="K80" s="9" t="inlineStr">
        <is>
          <t xml:space="preserve">MUSCLE RELAXANTS</t>
        </is>
      </c>
    </row>
    <row r="81">
      <c r="B81" s="0" t="inlineStr">
        <is>
          <t xml:space="preserve">Tizanidine</t>
        </is>
      </c>
      <c r="C81" s="0" t="inlineStr">
        <is>
          <t xml:space="preserve">Zanaflex</t>
        </is>
      </c>
      <c r="D81" s="0" t="inlineStr">
        <is>
          <t xml:space="preserve">4mg</t>
        </is>
      </c>
      <c r="E81" s="0" t="inlineStr">
        <is>
          <t xml:space="preserve">30</t>
        </is>
      </c>
      <c r="F81" s="3">
        <v>2.29</v>
      </c>
      <c r="G81" s="3">
        <v>44.1</v>
      </c>
      <c r="H81" s="3">
        <f>ROUND(G81*1.1,2)</f>
      </c>
      <c r="I81" s="3">
        <f>'Your formulary'!$B$6</f>
      </c>
      <c r="J81" s="3">
        <f>ROUND((H81*IF(FALSE,'Your formulary'!$B$4,'Your formulary'!$B$3)-F81-'Your formulary'!$B$5-'Your formulary'!$B$6)*'Your formulary'!$B$2,2)</f>
      </c>
      <c r="K81" s="9" t="inlineStr">
        <is>
          <t xml:space="preserve">MUSCLE RELAXANTS</t>
        </is>
      </c>
    </row>
    <row r="82">
      <c r="B82" s="0" t="inlineStr">
        <is>
          <t xml:space="preserve">Tizanidine</t>
        </is>
      </c>
      <c r="C82" s="0" t="inlineStr">
        <is>
          <t xml:space="preserve">Zanaflex</t>
        </is>
      </c>
      <c r="D82" s="0" t="inlineStr">
        <is>
          <t xml:space="preserve">4mg</t>
        </is>
      </c>
      <c r="E82" s="0" t="inlineStr">
        <is>
          <t xml:space="preserve">60</t>
        </is>
      </c>
      <c r="F82" s="3">
        <v>4.19</v>
      </c>
      <c r="G82" s="3">
        <v>88.2</v>
      </c>
      <c r="H82" s="3">
        <f>ROUND(G82*1.1,2)</f>
      </c>
      <c r="I82" s="3">
        <f>'Your formulary'!$B$6</f>
      </c>
      <c r="J82" s="3">
        <f>ROUND((H82*IF(FALSE,'Your formulary'!$B$4,'Your formulary'!$B$3)-F82-'Your formulary'!$B$5-'Your formulary'!$B$6)*'Your formulary'!$B$2,2)</f>
      </c>
      <c r="K82" s="9" t="inlineStr">
        <is>
          <t xml:space="preserve">MUSCLE RELAXANTS</t>
        </is>
      </c>
    </row>
    <row r="83">
      <c r="A83" s="6" t="inlineStr">
        <is>
          <t xml:space="preserve">N-SAIDS</t>
        </is>
      </c>
      <c r="B83" s="6"/>
      <c r="C83" s="6"/>
      <c r="D83" s="6"/>
      <c r="E83" s="6"/>
      <c r="F83" s="6"/>
      <c r="G83" s="6"/>
      <c r="H83" s="6"/>
      <c r="I83" s="6"/>
      <c r="J83" s="6"/>
      <c r="K83" s="6"/>
      <c r="L83" s="6"/>
    </row>
    <row r="84">
      <c r="B84" s="0" t="inlineStr">
        <is>
          <t xml:space="preserve">Celecoxib</t>
        </is>
      </c>
      <c r="C84" s="0" t="inlineStr">
        <is>
          <t xml:space="preserve">Celebrex</t>
        </is>
      </c>
      <c r="D84" s="0" t="inlineStr">
        <is>
          <t xml:space="preserve">100mg</t>
        </is>
      </c>
      <c r="E84" s="0" t="inlineStr">
        <is>
          <t xml:space="preserve">30</t>
        </is>
      </c>
      <c r="F84" s="3">
        <v>6.99</v>
      </c>
      <c r="G84" s="3">
        <v>138.66</v>
      </c>
      <c r="H84" s="3">
        <f>ROUND(G84*1.1,2)</f>
      </c>
      <c r="I84" s="3">
        <f>'Your formulary'!$B$6</f>
      </c>
      <c r="J84" s="3">
        <f>ROUND((H84*IF(FALSE,'Your formulary'!$B$4,'Your formulary'!$B$3)-F84-'Your formulary'!$B$5-'Your formulary'!$B$6)*'Your formulary'!$B$2,2)</f>
      </c>
      <c r="K84" s="9" t="inlineStr">
        <is>
          <t xml:space="preserve">N-SAIDS</t>
        </is>
      </c>
    </row>
    <row r="85">
      <c r="A85" s="9" t="inlineStr">
        <is>
          <t xml:space="preserve">on list</t>
        </is>
      </c>
      <c r="B85" s="0" t="inlineStr">
        <is>
          <t xml:space="preserve">Celecoxib</t>
        </is>
      </c>
      <c r="C85" s="0" t="inlineStr">
        <is>
          <t xml:space="preserve">Celebrex</t>
        </is>
      </c>
      <c r="D85" s="0" t="inlineStr">
        <is>
          <t xml:space="preserve">200mg</t>
        </is>
      </c>
      <c r="E85" s="0" t="inlineStr">
        <is>
          <t xml:space="preserve">30</t>
        </is>
      </c>
      <c r="F85" s="3">
        <v>7.99</v>
      </c>
      <c r="G85" s="3">
        <v>234.0</v>
      </c>
      <c r="H85" s="3">
        <f>ROUND(G85*1.1,2)</f>
      </c>
      <c r="I85" s="3">
        <f>'Your formulary'!$B$6</f>
      </c>
      <c r="J85" s="3">
        <f>ROUND((H85*IF(FALSE,'Your formulary'!$B$4,'Your formulary'!$B$3)-F85-'Your formulary'!$B$5-'Your formulary'!$B$6)*'Your formulary'!$B$2,2)</f>
      </c>
      <c r="K85" s="9" t="inlineStr">
        <is>
          <t xml:space="preserve">N-SAIDS</t>
        </is>
      </c>
    </row>
    <row r="86">
      <c r="A86" s="9" t="inlineStr">
        <is>
          <t xml:space="preserve">on list</t>
        </is>
      </c>
      <c r="B86" s="0" t="inlineStr">
        <is>
          <t xml:space="preserve">Celecoxib</t>
        </is>
      </c>
      <c r="C86" s="0" t="inlineStr">
        <is>
          <t xml:space="preserve">Celebrex</t>
        </is>
      </c>
      <c r="D86" s="0" t="inlineStr">
        <is>
          <t xml:space="preserve">200mg</t>
        </is>
      </c>
      <c r="E86" s="0" t="inlineStr">
        <is>
          <t xml:space="preserve">60</t>
        </is>
      </c>
      <c r="F86" s="3">
        <v>15.99</v>
      </c>
      <c r="G86" s="3">
        <v>454.2</v>
      </c>
      <c r="H86" s="3">
        <f>ROUND(G86*1.1,2)</f>
      </c>
      <c r="I86" s="3">
        <f>'Your formulary'!$B$6</f>
      </c>
      <c r="J86" s="3">
        <f>ROUND((H86*IF(FALSE,'Your formulary'!$B$4,'Your formulary'!$B$3)-F86-'Your formulary'!$B$5-'Your formulary'!$B$6)*'Your formulary'!$B$2,2)</f>
      </c>
      <c r="K86" s="9" t="inlineStr">
        <is>
          <t xml:space="preserve">N-SAIDS</t>
        </is>
      </c>
    </row>
    <row r="87">
      <c r="B87" s="0" t="inlineStr">
        <is>
          <t xml:space="preserve">Diclofenac Sodium Tablets</t>
        </is>
      </c>
      <c r="C87" s="0" t="inlineStr">
        <is>
          <t xml:space="preserve">Voltaren</t>
        </is>
      </c>
      <c r="D87" s="0" t="inlineStr">
        <is>
          <t xml:space="preserve">100mg</t>
        </is>
      </c>
      <c r="E87" s="0" t="inlineStr">
        <is>
          <t xml:space="preserve">60</t>
        </is>
      </c>
      <c r="F87" s="3">
        <v>49.95</v>
      </c>
      <c r="G87" s="3">
        <v>168.85</v>
      </c>
      <c r="H87" s="3">
        <f>ROUND(G87*1.1,2)</f>
      </c>
      <c r="I87" s="3">
        <f>'Your formulary'!$B$6</f>
      </c>
      <c r="J87" s="3">
        <f>ROUND((H87*IF(FALSE,'Your formulary'!$B$4,'Your formulary'!$B$3)-F87-'Your formulary'!$B$5-'Your formulary'!$B$6)*'Your formulary'!$B$2,2)</f>
      </c>
      <c r="K87" s="9" t="inlineStr">
        <is>
          <t xml:space="preserve">N-SAIDS</t>
        </is>
      </c>
    </row>
    <row r="88">
      <c r="B88" s="0" t="inlineStr">
        <is>
          <t xml:space="preserve">Ibuprofen</t>
        </is>
      </c>
      <c r="C88" s="0" t="inlineStr">
        <is>
          <t xml:space="preserve">Motrin</t>
        </is>
      </c>
      <c r="D88" s="0" t="inlineStr">
        <is>
          <t xml:space="preserve">600mg</t>
        </is>
      </c>
      <c r="E88" s="0" t="inlineStr">
        <is>
          <t xml:space="preserve">30</t>
        </is>
      </c>
      <c r="F88" s="3">
        <v>2.49</v>
      </c>
      <c r="G88" s="3">
        <v>15.6</v>
      </c>
      <c r="H88" s="3">
        <f>ROUND(G88*1.1,2)</f>
      </c>
      <c r="I88" s="3">
        <f>'Your formulary'!$B$6</f>
      </c>
      <c r="J88" s="3">
        <f>ROUND((H88*IF(FALSE,'Your formulary'!$B$4,'Your formulary'!$B$3)-F88-'Your formulary'!$B$5-'Your formulary'!$B$6)*'Your formulary'!$B$2,2)</f>
      </c>
      <c r="K88" s="9" t="inlineStr">
        <is>
          <t xml:space="preserve">N-SAIDS</t>
        </is>
      </c>
    </row>
    <row r="89">
      <c r="B89" s="0" t="inlineStr">
        <is>
          <t xml:space="preserve">Ibuprofen</t>
        </is>
      </c>
      <c r="C89" s="0" t="inlineStr">
        <is>
          <t xml:space="preserve">Motrin</t>
        </is>
      </c>
      <c r="D89" s="0" t="inlineStr">
        <is>
          <t xml:space="preserve">800mg</t>
        </is>
      </c>
      <c r="E89" s="0" t="inlineStr">
        <is>
          <t xml:space="preserve">30</t>
        </is>
      </c>
      <c r="F89" s="3">
        <v>2.99</v>
      </c>
      <c r="G89" s="3">
        <v>24.0</v>
      </c>
      <c r="H89" s="3">
        <f>ROUND(G89*1.1,2)</f>
      </c>
      <c r="I89" s="3">
        <f>'Your formulary'!$B$6</f>
      </c>
      <c r="J89" s="3">
        <f>ROUND((H89*IF(FALSE,'Your formulary'!$B$4,'Your formulary'!$B$3)-F89-'Your formulary'!$B$5-'Your formulary'!$B$6)*'Your formulary'!$B$2,2)</f>
      </c>
      <c r="K89" s="9" t="inlineStr">
        <is>
          <t xml:space="preserve">N-SAIDS</t>
        </is>
      </c>
    </row>
    <row r="90">
      <c r="B90" s="0" t="inlineStr">
        <is>
          <t xml:space="preserve">Ibuprofen</t>
        </is>
      </c>
      <c r="C90" s="0" t="inlineStr">
        <is>
          <t xml:space="preserve">Motrin</t>
        </is>
      </c>
      <c r="D90" s="0" t="inlineStr">
        <is>
          <t xml:space="preserve">600mg</t>
        </is>
      </c>
      <c r="E90" s="0" t="inlineStr">
        <is>
          <t xml:space="preserve">60</t>
        </is>
      </c>
      <c r="F90" s="3">
        <v>5.19</v>
      </c>
      <c r="G90" s="3">
        <v>31.2</v>
      </c>
      <c r="H90" s="3">
        <f>ROUND(G90*1.1,2)</f>
      </c>
      <c r="I90" s="3">
        <f>'Your formulary'!$B$6</f>
      </c>
      <c r="J90" s="3">
        <f>ROUND((H90*IF(FALSE,'Your formulary'!$B$4,'Your formulary'!$B$3)-F90-'Your formulary'!$B$5-'Your formulary'!$B$6)*'Your formulary'!$B$2,2)</f>
      </c>
      <c r="K90" s="9" t="inlineStr">
        <is>
          <t xml:space="preserve">N-SAIDS</t>
        </is>
      </c>
    </row>
    <row r="91">
      <c r="A91" s="9" t="inlineStr">
        <is>
          <t xml:space="preserve">on list</t>
        </is>
      </c>
      <c r="B91" s="0" t="inlineStr">
        <is>
          <t xml:space="preserve">Ibuprofen</t>
        </is>
      </c>
      <c r="C91" s="0" t="inlineStr">
        <is>
          <t xml:space="preserve">Motrin</t>
        </is>
      </c>
      <c r="D91" s="0" t="inlineStr">
        <is>
          <t xml:space="preserve">800mg</t>
        </is>
      </c>
      <c r="E91" s="0" t="inlineStr">
        <is>
          <t xml:space="preserve">90</t>
        </is>
      </c>
      <c r="F91" s="3">
        <v>8.99</v>
      </c>
      <c r="G91" s="3">
        <v>72.0</v>
      </c>
      <c r="H91" s="3">
        <f>ROUND(G91*1.1,2)</f>
      </c>
      <c r="I91" s="3">
        <f>'Your formulary'!$B$6</f>
      </c>
      <c r="J91" s="3">
        <f>ROUND((H91*IF(FALSE,'Your formulary'!$B$4,'Your formulary'!$B$3)-F91-'Your formulary'!$B$5-'Your formulary'!$B$6)*'Your formulary'!$B$2,2)</f>
      </c>
      <c r="K91" s="9" t="inlineStr">
        <is>
          <t xml:space="preserve">N-SAIDS</t>
        </is>
      </c>
    </row>
    <row r="92">
      <c r="A92" s="9" t="inlineStr">
        <is>
          <t xml:space="preserve">on list</t>
        </is>
      </c>
      <c r="B92" s="0" t="inlineStr">
        <is>
          <t xml:space="preserve">Meloxicam</t>
        </is>
      </c>
      <c r="C92" s="0" t="inlineStr">
        <is>
          <t xml:space="preserve">Mobic</t>
        </is>
      </c>
      <c r="D92" s="0" t="inlineStr">
        <is>
          <t xml:space="preserve">15mg</t>
        </is>
      </c>
      <c r="E92" s="0" t="inlineStr">
        <is>
          <t xml:space="preserve">30</t>
        </is>
      </c>
      <c r="F92" s="3">
        <v>1.49</v>
      </c>
      <c r="G92" s="3">
        <v>145.35</v>
      </c>
      <c r="H92" s="3">
        <f>ROUND(G92*1.1,2)</f>
      </c>
      <c r="I92" s="3">
        <f>'Your formulary'!$B$6</f>
      </c>
      <c r="J92" s="3">
        <f>ROUND((H92*IF(FALSE,'Your formulary'!$B$4,'Your formulary'!$B$3)-F92-'Your formulary'!$B$5-'Your formulary'!$B$6)*'Your formulary'!$B$2,2)</f>
      </c>
      <c r="K92" s="9" t="inlineStr">
        <is>
          <t xml:space="preserve">N-SAIDS</t>
        </is>
      </c>
    </row>
    <row r="93">
      <c r="A93" s="9" t="inlineStr">
        <is>
          <t xml:space="preserve">on list</t>
        </is>
      </c>
      <c r="B93" s="0" t="inlineStr">
        <is>
          <t xml:space="preserve">Meloxicam</t>
        </is>
      </c>
      <c r="C93" s="0" t="inlineStr">
        <is>
          <t xml:space="preserve">Meloxicam</t>
        </is>
      </c>
      <c r="D93" s="0" t="inlineStr">
        <is>
          <t xml:space="preserve">7.5mg</t>
        </is>
      </c>
      <c r="E93" s="0" t="inlineStr">
        <is>
          <t xml:space="preserve">30</t>
        </is>
      </c>
      <c r="F93" s="3">
        <v>54.5</v>
      </c>
      <c r="G93" s="3">
        <v>412.44</v>
      </c>
      <c r="H93" s="3">
        <f>ROUND(G93*1.1,2)</f>
      </c>
      <c r="I93" s="3">
        <f>'Your formulary'!$B$6</f>
      </c>
      <c r="J93" s="3">
        <f>ROUND((H93*IF(FALSE,'Your formulary'!$B$4,'Your formulary'!$B$3)-F93-'Your formulary'!$B$5-'Your formulary'!$B$6)*'Your formulary'!$B$2,2)</f>
      </c>
      <c r="K93" s="9" t="inlineStr">
        <is>
          <t xml:space="preserve">N-SAIDS</t>
        </is>
      </c>
    </row>
    <row r="94">
      <c r="A94" s="9" t="inlineStr">
        <is>
          <t xml:space="preserve">on list</t>
        </is>
      </c>
      <c r="B94" s="0" t="inlineStr">
        <is>
          <t xml:space="preserve">Meloxicam</t>
        </is>
      </c>
      <c r="C94" s="0" t="inlineStr">
        <is>
          <t xml:space="preserve">Mobic</t>
        </is>
      </c>
      <c r="D94" s="0" t="inlineStr">
        <is>
          <t xml:space="preserve">7.5mg</t>
        </is>
      </c>
      <c r="E94" s="0" t="inlineStr">
        <is>
          <t xml:space="preserve">60</t>
        </is>
      </c>
      <c r="F94" s="3">
        <v>1.99</v>
      </c>
      <c r="G94" s="3">
        <v>190.2</v>
      </c>
      <c r="H94" s="3">
        <f>ROUND(G94*1.1,2)</f>
      </c>
      <c r="I94" s="3">
        <f>'Your formulary'!$B$6</f>
      </c>
      <c r="J94" s="3">
        <f>ROUND((H94*IF(FALSE,'Your formulary'!$B$4,'Your formulary'!$B$3)-F94-'Your formulary'!$B$5-'Your formulary'!$B$6)*'Your formulary'!$B$2,2)</f>
      </c>
      <c r="K94" s="9" t="inlineStr">
        <is>
          <t xml:space="preserve">N-SAIDS</t>
        </is>
      </c>
    </row>
    <row r="95">
      <c r="B95" s="0" t="inlineStr">
        <is>
          <t xml:space="preserve">Meloxicam</t>
        </is>
      </c>
      <c r="C95" s="0" t="inlineStr">
        <is>
          <t xml:space="preserve">Mobic</t>
        </is>
      </c>
      <c r="D95" s="0" t="inlineStr">
        <is>
          <t xml:space="preserve">15mg</t>
        </is>
      </c>
      <c r="E95" s="0" t="inlineStr">
        <is>
          <t xml:space="preserve">60</t>
        </is>
      </c>
      <c r="F95" s="3">
        <v>1.69</v>
      </c>
      <c r="G95" s="3">
        <v>290.7</v>
      </c>
      <c r="H95" s="3">
        <f>ROUND(G95*1.1,2)</f>
      </c>
      <c r="I95" s="3">
        <f>'Your formulary'!$B$6</f>
      </c>
      <c r="J95" s="3">
        <f>ROUND((H95*IF(FALSE,'Your formulary'!$B$4,'Your formulary'!$B$3)-F95-'Your formulary'!$B$5-'Your formulary'!$B$6)*'Your formulary'!$B$2,2)</f>
      </c>
      <c r="K95" s="9" t="inlineStr">
        <is>
          <t xml:space="preserve">N-SAIDS</t>
        </is>
      </c>
    </row>
    <row r="96">
      <c r="B96" s="0" t="inlineStr">
        <is>
          <t xml:space="preserve">Nabumetone</t>
        </is>
      </c>
      <c r="C96" s="0" t="inlineStr">
        <is>
          <t xml:space="preserve">Relafen</t>
        </is>
      </c>
      <c r="D96" s="0" t="inlineStr">
        <is>
          <t xml:space="preserve">500mg</t>
        </is>
      </c>
      <c r="E96" s="0" t="inlineStr">
        <is>
          <t xml:space="preserve">60</t>
        </is>
      </c>
      <c r="F96" s="3">
        <v>12.95</v>
      </c>
      <c r="G96" s="3">
        <v>74.4</v>
      </c>
      <c r="H96" s="3">
        <f>ROUND(G96*1.1,2)</f>
      </c>
      <c r="I96" s="3">
        <f>'Your formulary'!$B$6</f>
      </c>
      <c r="J96" s="3">
        <f>ROUND((H96*IF(FALSE,'Your formulary'!$B$4,'Your formulary'!$B$3)-F96-'Your formulary'!$B$5-'Your formulary'!$B$6)*'Your formulary'!$B$2,2)</f>
      </c>
      <c r="K96" s="9" t="inlineStr">
        <is>
          <t xml:space="preserve">N-SAIDS</t>
        </is>
      </c>
    </row>
    <row r="97">
      <c r="A97" s="9" t="inlineStr">
        <is>
          <t xml:space="preserve">on list</t>
        </is>
      </c>
      <c r="B97" s="0" t="inlineStr">
        <is>
          <t xml:space="preserve">Naproxen</t>
        </is>
      </c>
      <c r="C97" s="0" t="inlineStr">
        <is>
          <t xml:space="preserve">Naproxen</t>
        </is>
      </c>
      <c r="D97" s="0" t="inlineStr">
        <is>
          <t xml:space="preserve">550mg</t>
        </is>
      </c>
      <c r="E97" s="0" t="inlineStr">
        <is>
          <t xml:space="preserve">60</t>
        </is>
      </c>
      <c r="F97" s="3">
        <v>26.76</v>
      </c>
      <c r="G97" s="3">
        <v>352.67</v>
      </c>
      <c r="H97" s="3">
        <f>ROUND(G97*1.1,2)</f>
      </c>
      <c r="I97" s="3">
        <f>'Your formulary'!$B$6</f>
      </c>
      <c r="J97" s="3">
        <f>ROUND((H97*IF(FALSE,'Your formulary'!$B$4,'Your formulary'!$B$3)-F97-'Your formulary'!$B$5-'Your formulary'!$B$6)*'Your formulary'!$B$2,2)</f>
      </c>
      <c r="K97" s="9" t="inlineStr">
        <is>
          <t xml:space="preserve">N-SAIDS</t>
        </is>
      </c>
    </row>
    <row r="98">
      <c r="B98" s="0" t="inlineStr">
        <is>
          <t xml:space="preserve">Naproxen Tablets</t>
        </is>
      </c>
      <c r="C98" s="0" t="inlineStr">
        <is>
          <t xml:space="preserve">Naprosyn</t>
        </is>
      </c>
      <c r="D98" s="0" t="inlineStr">
        <is>
          <t xml:space="preserve">500mg</t>
        </is>
      </c>
      <c r="E98" s="0" t="inlineStr">
        <is>
          <t xml:space="preserve">30</t>
        </is>
      </c>
      <c r="F98" s="3">
        <v>4.49</v>
      </c>
      <c r="G98" s="3">
        <v>35.7</v>
      </c>
      <c r="H98" s="3">
        <f>ROUND(G98*1.1,2)</f>
      </c>
      <c r="I98" s="3">
        <f>'Your formulary'!$B$6</f>
      </c>
      <c r="J98" s="3">
        <f>ROUND((H98*IF(FALSE,'Your formulary'!$B$4,'Your formulary'!$B$3)-F98-'Your formulary'!$B$5-'Your formulary'!$B$6)*'Your formulary'!$B$2,2)</f>
      </c>
      <c r="K98" s="9" t="inlineStr">
        <is>
          <t xml:space="preserve">N-SAIDS</t>
        </is>
      </c>
    </row>
    <row r="99">
      <c r="B99" s="0" t="inlineStr">
        <is>
          <t xml:space="preserve">Naproxen Tablets</t>
        </is>
      </c>
      <c r="C99" s="0" t="inlineStr">
        <is>
          <t xml:space="preserve">Naprosyn</t>
        </is>
      </c>
      <c r="D99" s="0" t="inlineStr">
        <is>
          <t xml:space="preserve">500mg</t>
        </is>
      </c>
      <c r="E99" s="0" t="inlineStr">
        <is>
          <t xml:space="preserve">60</t>
        </is>
      </c>
      <c r="F99" s="3">
        <v>8.99</v>
      </c>
      <c r="G99" s="3">
        <v>71.4</v>
      </c>
      <c r="H99" s="3">
        <f>ROUND(G99*1.1,2)</f>
      </c>
      <c r="I99" s="3">
        <f>'Your formulary'!$B$6</f>
      </c>
      <c r="J99" s="3">
        <f>ROUND((H99*IF(FALSE,'Your formulary'!$B$4,'Your formulary'!$B$3)-F99-'Your formulary'!$B$5-'Your formulary'!$B$6)*'Your formulary'!$B$2,2)</f>
      </c>
      <c r="K99" s="9" t="inlineStr">
        <is>
          <t xml:space="preserve">N-SAIDS</t>
        </is>
      </c>
    </row>
    <row r="100">
      <c r="B100" s="0" t="inlineStr">
        <is>
          <t xml:space="preserve">Naproxen Tablets</t>
        </is>
      </c>
      <c r="C100" s="0" t="inlineStr">
        <is>
          <t xml:space="preserve">Naprosyn</t>
        </is>
      </c>
      <c r="D100" s="0" t="inlineStr">
        <is>
          <t xml:space="preserve">375mg</t>
        </is>
      </c>
      <c r="E100" s="0" t="inlineStr">
        <is>
          <t xml:space="preserve">60</t>
        </is>
      </c>
      <c r="F100" s="3">
        <v>4.49</v>
      </c>
      <c r="G100" s="3">
        <v>58.8</v>
      </c>
      <c r="H100" s="3">
        <f>ROUND(G100*1.1,2)</f>
      </c>
      <c r="I100" s="3">
        <f>'Your formulary'!$B$6</f>
      </c>
      <c r="J100" s="3">
        <f>ROUND((H100*IF(FALSE,'Your formulary'!$B$4,'Your formulary'!$B$3)-F100-'Your formulary'!$B$5-'Your formulary'!$B$6)*'Your formulary'!$B$2,2)</f>
      </c>
      <c r="K100" s="9" t="inlineStr">
        <is>
          <t xml:space="preserve">N-SAIDS</t>
        </is>
      </c>
    </row>
    <row r="101">
      <c r="A101" s="6" t="inlineStr">
        <is>
          <t xml:space="preserve">NSAID Combo</t>
        </is>
      </c>
      <c r="B101" s="6"/>
      <c r="C101" s="6"/>
      <c r="D101" s="6"/>
      <c r="E101" s="6"/>
      <c r="F101" s="6"/>
      <c r="G101" s="6"/>
      <c r="H101" s="6"/>
      <c r="I101" s="6"/>
      <c r="J101" s="6"/>
      <c r="K101" s="6"/>
      <c r="L101" s="6"/>
    </row>
    <row r="102">
      <c r="B102" s="0" t="inlineStr">
        <is>
          <t xml:space="preserve">IBUPROFEN-FAMOTIDINE 800-26.6 MG ORAL TABLET</t>
        </is>
      </c>
      <c r="C102" s="0" t="inlineStr">
        <is>
          <t xml:space="preserve">Duexis</t>
        </is>
      </c>
      <c r="D102" s="0" t="inlineStr">
        <is>
          <t xml:space="preserve">800-26.6</t>
        </is>
      </c>
      <c r="E102" s="0" t="inlineStr">
        <is>
          <t xml:space="preserve">90</t>
        </is>
      </c>
      <c r="F102" s="3">
        <v>87.28</v>
      </c>
      <c r="G102" s="3">
        <v>998.1</v>
      </c>
      <c r="H102" s="3">
        <f>ROUND(G102*1.1,2)</f>
      </c>
      <c r="I102" s="3">
        <f>'Your formulary'!$B$6</f>
      </c>
      <c r="J102" s="3">
        <f>ROUND((H102*IF(FALSE,'Your formulary'!$B$4,'Your formulary'!$B$3)-F102-'Your formulary'!$B$5-'Your formulary'!$B$6)*'Your formulary'!$B$2,2)</f>
      </c>
      <c r="K102" s="9" t="inlineStr">
        <is>
          <t xml:space="preserve">NSAID Combo</t>
        </is>
      </c>
    </row>
    <row r="103">
      <c r="A103" s="6" t="inlineStr">
        <is>
          <t xml:space="preserve">PROTON PUMP INHIBITOR</t>
        </is>
      </c>
      <c r="B103" s="6"/>
      <c r="C103" s="6"/>
      <c r="D103" s="6"/>
      <c r="E103" s="6"/>
      <c r="F103" s="6"/>
      <c r="G103" s="6"/>
      <c r="H103" s="6"/>
      <c r="I103" s="6"/>
      <c r="J103" s="6"/>
      <c r="K103" s="6"/>
      <c r="L103" s="6"/>
    </row>
    <row r="104">
      <c r="A104" s="9" t="inlineStr">
        <is>
          <t xml:space="preserve">on list</t>
        </is>
      </c>
      <c r="B104" s="0" t="inlineStr">
        <is>
          <t xml:space="preserve">Esomeprazole</t>
        </is>
      </c>
      <c r="C104" s="0" t="inlineStr">
        <is>
          <t xml:space="preserve">Esomeprazole</t>
        </is>
      </c>
      <c r="D104" s="0" t="inlineStr">
        <is>
          <t xml:space="preserve">20mg</t>
        </is>
      </c>
      <c r="E104" s="0" t="inlineStr">
        <is>
          <t xml:space="preserve">30</t>
        </is>
      </c>
      <c r="F104" s="3">
        <v>12.0</v>
      </c>
      <c r="G104" s="3">
        <v>297.77</v>
      </c>
      <c r="H104" s="3">
        <f>ROUND(G104*1.1,2)</f>
      </c>
      <c r="I104" s="3">
        <f>'Your formulary'!$B$6</f>
      </c>
      <c r="J104" s="3">
        <f>ROUND((H104*IF(FALSE,'Your formulary'!$B$4,'Your formulary'!$B$3)-F104-'Your formulary'!$B$5-'Your formulary'!$B$6)*'Your formulary'!$B$2,2)</f>
      </c>
      <c r="K104" s="9" t="inlineStr">
        <is>
          <t xml:space="preserve">PROTON PUMP INHIBITOR</t>
        </is>
      </c>
    </row>
    <row r="105">
      <c r="A105" s="9" t="inlineStr">
        <is>
          <t xml:space="preserve">on list</t>
        </is>
      </c>
      <c r="B105" s="0" t="inlineStr">
        <is>
          <t xml:space="preserve">Esomeprazole</t>
        </is>
      </c>
      <c r="C105" s="0" t="inlineStr">
        <is>
          <t xml:space="preserve">Esomeprazole</t>
        </is>
      </c>
      <c r="D105" s="0" t="inlineStr">
        <is>
          <t xml:space="preserve">40mg</t>
        </is>
      </c>
      <c r="E105" s="0" t="inlineStr">
        <is>
          <t xml:space="preserve">30</t>
        </is>
      </c>
      <c r="F105" s="3">
        <v>14.33</v>
      </c>
      <c r="G105" s="3">
        <v>297.77</v>
      </c>
      <c r="H105" s="3">
        <f>ROUND(G105*1.1,2)</f>
      </c>
      <c r="I105" s="3">
        <f>'Your formulary'!$B$6</f>
      </c>
      <c r="J105" s="3">
        <f>ROUND((H105*IF(FALSE,'Your formulary'!$B$4,'Your formulary'!$B$3)-F105-'Your formulary'!$B$5-'Your formulary'!$B$6)*'Your formulary'!$B$2,2)</f>
      </c>
      <c r="K105" s="9" t="inlineStr">
        <is>
          <t xml:space="preserve">PROTON PUMP INHIBITOR</t>
        </is>
      </c>
    </row>
    <row r="106">
      <c r="A106" s="9" t="inlineStr">
        <is>
          <t xml:space="preserve">on list</t>
        </is>
      </c>
      <c r="B106" s="0" t="inlineStr">
        <is>
          <t xml:space="preserve">Omeprazole</t>
        </is>
      </c>
      <c r="C106" s="0" t="inlineStr">
        <is>
          <t xml:space="preserve">Prilosec</t>
        </is>
      </c>
      <c r="D106" s="0" t="inlineStr">
        <is>
          <t xml:space="preserve">20mg</t>
        </is>
      </c>
      <c r="E106" s="0" t="inlineStr">
        <is>
          <t xml:space="preserve">30</t>
        </is>
      </c>
      <c r="F106" s="3">
        <v>1.99</v>
      </c>
      <c r="G106" s="3">
        <v>133.46</v>
      </c>
      <c r="H106" s="3">
        <f>ROUND(G106*1.1,2)</f>
      </c>
      <c r="I106" s="3">
        <f>'Your formulary'!$B$6</f>
      </c>
      <c r="J106" s="3">
        <f>ROUND((H106*IF(FALSE,'Your formulary'!$B$4,'Your formulary'!$B$3)-F106-'Your formulary'!$B$5-'Your formulary'!$B$6)*'Your formulary'!$B$2,2)</f>
      </c>
      <c r="K106" s="9" t="inlineStr">
        <is>
          <t xml:space="preserve">PROTON PUMP INHIBITOR</t>
        </is>
      </c>
    </row>
    <row r="107">
      <c r="B107" s="0" t="inlineStr">
        <is>
          <t xml:space="preserve">Omeprazole</t>
        </is>
      </c>
      <c r="C107" s="0" t="inlineStr">
        <is>
          <t xml:space="preserve">Prilosec</t>
        </is>
      </c>
      <c r="D107" s="0" t="inlineStr">
        <is>
          <t xml:space="preserve">40mg</t>
        </is>
      </c>
      <c r="E107" s="0" t="inlineStr">
        <is>
          <t xml:space="preserve">30</t>
        </is>
      </c>
      <c r="F107" s="3">
        <v>3.14</v>
      </c>
      <c r="G107" s="3">
        <v>222.0</v>
      </c>
      <c r="H107" s="3">
        <f>ROUND(G107*1.1,2)</f>
      </c>
      <c r="I107" s="3">
        <f>'Your formulary'!$B$6</f>
      </c>
      <c r="J107" s="3">
        <f>ROUND((H107*IF(FALSE,'Your formulary'!$B$4,'Your formulary'!$B$3)-F107-'Your formulary'!$B$5-'Your formulary'!$B$6)*'Your formulary'!$B$2,2)</f>
      </c>
      <c r="K107" s="9" t="inlineStr">
        <is>
          <t xml:space="preserve">PROTON PUMP INHIBITOR</t>
        </is>
      </c>
    </row>
    <row r="108">
      <c r="A108" s="9" t="inlineStr">
        <is>
          <t xml:space="preserve">on list</t>
        </is>
      </c>
      <c r="B108" s="0" t="inlineStr">
        <is>
          <t xml:space="preserve">Omeprazole</t>
        </is>
      </c>
      <c r="C108" s="0" t="inlineStr">
        <is>
          <t xml:space="preserve">Prilosec</t>
        </is>
      </c>
      <c r="D108" s="0" t="inlineStr">
        <is>
          <t xml:space="preserve">20mg</t>
        </is>
      </c>
      <c r="E108" s="0" t="inlineStr">
        <is>
          <t xml:space="preserve">60</t>
        </is>
      </c>
      <c r="F108" s="3">
        <v>3.59</v>
      </c>
      <c r="G108" s="3">
        <v>266.92</v>
      </c>
      <c r="H108" s="3">
        <f>ROUND(G108*1.1,2)</f>
      </c>
      <c r="I108" s="3">
        <f>'Your formulary'!$B$6</f>
      </c>
      <c r="J108" s="3">
        <f>ROUND((H108*IF(FALSE,'Your formulary'!$B$4,'Your formulary'!$B$3)-F108-'Your formulary'!$B$5-'Your formulary'!$B$6)*'Your formulary'!$B$2,2)</f>
      </c>
      <c r="K108" s="9" t="inlineStr">
        <is>
          <t xml:space="preserve">PROTON PUMP INHIBITOR</t>
        </is>
      </c>
    </row>
    <row r="109">
      <c r="B109" s="0" t="inlineStr">
        <is>
          <t xml:space="preserve">Pantoprazole</t>
        </is>
      </c>
      <c r="C109" s="0" t="inlineStr">
        <is>
          <t xml:space="preserve">Protonix</t>
        </is>
      </c>
      <c r="D109" s="0" t="inlineStr">
        <is>
          <t xml:space="preserve">40mg</t>
        </is>
      </c>
      <c r="E109" s="0" t="inlineStr">
        <is>
          <t xml:space="preserve">30</t>
        </is>
      </c>
      <c r="F109" s="3">
        <v>2.99</v>
      </c>
      <c r="G109" s="3">
        <v>158.1</v>
      </c>
      <c r="H109" s="3">
        <f>ROUND(G109*1.1,2)</f>
      </c>
      <c r="I109" s="3">
        <f>'Your formulary'!$B$6</f>
      </c>
      <c r="J109" s="3">
        <f>ROUND((H109*IF(FALSE,'Your formulary'!$B$4,'Your formulary'!$B$3)-F109-'Your formulary'!$B$5-'Your formulary'!$B$6)*'Your formulary'!$B$2,2)</f>
      </c>
      <c r="K109" s="9" t="inlineStr">
        <is>
          <t xml:space="preserve">PROTON PUMP INHIBITOR</t>
        </is>
      </c>
    </row>
    <row r="110">
      <c r="B110" s="0" t="inlineStr">
        <is>
          <t xml:space="preserve">Pantoprazole</t>
        </is>
      </c>
      <c r="C110" s="0" t="inlineStr">
        <is>
          <t xml:space="preserve">Protonix</t>
        </is>
      </c>
      <c r="D110" s="0" t="inlineStr">
        <is>
          <t xml:space="preserve">20mg</t>
        </is>
      </c>
      <c r="E110" s="0" t="inlineStr">
        <is>
          <t xml:space="preserve">30</t>
        </is>
      </c>
      <c r="F110" s="3">
        <v>2.79</v>
      </c>
      <c r="G110" s="3">
        <v>323.7</v>
      </c>
      <c r="H110" s="3">
        <f>ROUND(G110*1.1,2)</f>
      </c>
      <c r="I110" s="3">
        <f>'Your formulary'!$B$6</f>
      </c>
      <c r="J110" s="3">
        <f>ROUND((H110*IF(FALSE,'Your formulary'!$B$4,'Your formulary'!$B$3)-F110-'Your formulary'!$B$5-'Your formulary'!$B$6)*'Your formulary'!$B$2,2)</f>
      </c>
      <c r="K110" s="9" t="inlineStr">
        <is>
          <t xml:space="preserve">PROTON PUMP INHIBITOR</t>
        </is>
      </c>
    </row>
    <row r="111">
      <c r="B111" s="0" t="inlineStr">
        <is>
          <t xml:space="preserve">Pantoprazole</t>
        </is>
      </c>
      <c r="C111" s="0" t="inlineStr">
        <is>
          <t xml:space="preserve">Protonix</t>
        </is>
      </c>
      <c r="D111" s="0" t="inlineStr">
        <is>
          <t xml:space="preserve">20mg</t>
        </is>
      </c>
      <c r="E111" s="0" t="inlineStr">
        <is>
          <t xml:space="preserve">60</t>
        </is>
      </c>
      <c r="F111" s="3">
        <v>4.79</v>
      </c>
      <c r="G111" s="3">
        <v>547.4</v>
      </c>
      <c r="H111" s="3">
        <f>ROUND(G111*1.1,2)</f>
      </c>
      <c r="I111" s="3">
        <f>'Your formulary'!$B$6</f>
      </c>
      <c r="J111" s="3">
        <f>ROUND((H111*IF(FALSE,'Your formulary'!$B$4,'Your formulary'!$B$3)-F111-'Your formulary'!$B$5-'Your formulary'!$B$6)*'Your formulary'!$B$2,2)</f>
      </c>
      <c r="K111" s="9" t="inlineStr">
        <is>
          <t xml:space="preserve">PROTON PUMP INHIBITOR</t>
        </is>
      </c>
    </row>
    <row r="112">
      <c r="B112" s="0" t="inlineStr">
        <is>
          <t xml:space="preserve">Rabeprazole Sod. DR</t>
        </is>
      </c>
      <c r="C112" s="0" t="inlineStr">
        <is>
          <t xml:space="preserve">Aciphex</t>
        </is>
      </c>
      <c r="D112" s="0" t="inlineStr">
        <is>
          <t xml:space="preserve">20mg</t>
        </is>
      </c>
      <c r="E112" s="0" t="inlineStr">
        <is>
          <t xml:space="preserve">30</t>
        </is>
      </c>
      <c r="F112" s="3">
        <v>10.24</v>
      </c>
      <c r="G112" s="3">
        <v>344.1</v>
      </c>
      <c r="H112" s="3">
        <f>ROUND(G112*1.1,2)</f>
      </c>
      <c r="I112" s="3">
        <f>'Your formulary'!$B$6</f>
      </c>
      <c r="J112" s="3">
        <f>ROUND((H112*IF(FALSE,'Your formulary'!$B$4,'Your formulary'!$B$3)-F112-'Your formulary'!$B$5-'Your formulary'!$B$6)*'Your formulary'!$B$2,2)</f>
      </c>
      <c r="K112" s="9" t="inlineStr">
        <is>
          <t xml:space="preserve">PROTON PUMP INHIBITOR</t>
        </is>
      </c>
    </row>
    <row r="113">
      <c r="B113" s="0" t="inlineStr">
        <is>
          <t xml:space="preserve">Rabeprazole Sod. DR</t>
        </is>
      </c>
      <c r="C113" s="0" t="inlineStr">
        <is>
          <t xml:space="preserve">Aciphex</t>
        </is>
      </c>
      <c r="D113" s="0" t="inlineStr">
        <is>
          <t xml:space="preserve">20mg</t>
        </is>
      </c>
      <c r="E113" s="0" t="inlineStr">
        <is>
          <t xml:space="preserve">60</t>
        </is>
      </c>
      <c r="F113" s="3">
        <v>2.49</v>
      </c>
      <c r="G113" s="3">
        <v>687.6</v>
      </c>
      <c r="H113" s="3">
        <f>ROUND(G113*1.1,2)</f>
      </c>
      <c r="I113" s="3">
        <f>'Your formulary'!$B$6</f>
      </c>
      <c r="J113" s="3">
        <f>ROUND((H113*IF(FALSE,'Your formulary'!$B$4,'Your formulary'!$B$3)-F113-'Your formulary'!$B$5-'Your formulary'!$B$6)*'Your formulary'!$B$2,2)</f>
      </c>
      <c r="K113" s="9" t="inlineStr">
        <is>
          <t xml:space="preserve">PROTON PUMP INHIBITOR</t>
        </is>
      </c>
    </row>
    <row r="114">
      <c r="A114" s="6" t="inlineStr">
        <is>
          <t xml:space="preserve">SLEEP AID</t>
        </is>
      </c>
      <c r="B114" s="6"/>
      <c r="C114" s="6"/>
      <c r="D114" s="6"/>
      <c r="E114" s="6"/>
      <c r="F114" s="6"/>
      <c r="G114" s="6"/>
      <c r="H114" s="6"/>
      <c r="I114" s="6"/>
      <c r="J114" s="6"/>
      <c r="K114" s="6"/>
      <c r="L114" s="6"/>
    </row>
    <row r="115">
      <c r="A115" s="9" t="inlineStr">
        <is>
          <t xml:space="preserve">on list</t>
        </is>
      </c>
      <c r="B115" s="0" t="inlineStr">
        <is>
          <t xml:space="preserve">Eszopiclone</t>
        </is>
      </c>
      <c r="C115" s="0" t="inlineStr">
        <is>
          <t xml:space="preserve">Eszopiclone</t>
        </is>
      </c>
      <c r="D115" s="0" t="inlineStr">
        <is>
          <t xml:space="preserve">3mg</t>
        </is>
      </c>
      <c r="E115" s="0" t="inlineStr">
        <is>
          <t xml:space="preserve">30</t>
        </is>
      </c>
      <c r="F115" s="3">
        <v>18.3</v>
      </c>
      <c r="G115" s="3">
        <v>401.32</v>
      </c>
      <c r="H115" s="3">
        <f>ROUND(G115*1.1,2)</f>
      </c>
      <c r="I115" s="3">
        <f>'Your formulary'!$B$6</f>
      </c>
      <c r="J115" s="3">
        <f>ROUND((H115*IF(FALSE,'Your formulary'!$B$4,'Your formulary'!$B$3)-F115-'Your formulary'!$B$5-'Your formulary'!$B$6)*'Your formulary'!$B$2,2)</f>
      </c>
      <c r="K115" s="9" t="inlineStr">
        <is>
          <t xml:space="preserve">SLEEP AID</t>
        </is>
      </c>
    </row>
    <row r="116">
      <c r="B116" s="0" t="inlineStr">
        <is>
          <t xml:space="preserve">Eszopiclone</t>
        </is>
      </c>
      <c r="C116" s="0" t="inlineStr">
        <is>
          <t xml:space="preserve">Lunesta</t>
        </is>
      </c>
      <c r="D116" s="0" t="inlineStr">
        <is>
          <t xml:space="preserve">1mg</t>
        </is>
      </c>
      <c r="E116" s="0" t="inlineStr">
        <is>
          <t xml:space="preserve">30</t>
        </is>
      </c>
      <c r="F116" s="3">
        <v>7.79</v>
      </c>
      <c r="G116" s="3">
        <v>364.43</v>
      </c>
      <c r="H116" s="3">
        <f>ROUND(G116*1.1,2)</f>
      </c>
      <c r="I116" s="3">
        <f>'Your formulary'!$B$6</f>
      </c>
      <c r="J116" s="3">
        <f>ROUND((H116*IF(FALSE,'Your formulary'!$B$4,'Your formulary'!$B$3)-F116-'Your formulary'!$B$5-'Your formulary'!$B$6)*'Your formulary'!$B$2,2)</f>
      </c>
      <c r="K116" s="9" t="inlineStr">
        <is>
          <t xml:space="preserve">SLEEP AID</t>
        </is>
      </c>
    </row>
    <row r="117">
      <c r="A117" s="9" t="inlineStr">
        <is>
          <t xml:space="preserve">on list</t>
        </is>
      </c>
      <c r="B117" s="0" t="inlineStr">
        <is>
          <t xml:space="preserve">Eszopiclone</t>
        </is>
      </c>
      <c r="C117" s="0" t="inlineStr">
        <is>
          <t xml:space="preserve">Eszopiclone</t>
        </is>
      </c>
      <c r="D117" s="0" t="inlineStr">
        <is>
          <t xml:space="preserve">2mg</t>
        </is>
      </c>
      <c r="E117" s="0" t="inlineStr">
        <is>
          <t xml:space="preserve">30</t>
        </is>
      </c>
      <c r="F117" s="3">
        <v>13.5</v>
      </c>
      <c r="G117" s="3">
        <v>401.32</v>
      </c>
      <c r="H117" s="3">
        <f>ROUND(G117*1.1,2)</f>
      </c>
      <c r="I117" s="3">
        <f>'Your formulary'!$B$6</f>
      </c>
      <c r="J117" s="3">
        <f>ROUND((H117*IF(FALSE,'Your formulary'!$B$4,'Your formulary'!$B$3)-F117-'Your formulary'!$B$5-'Your formulary'!$B$6)*'Your formulary'!$B$2,2)</f>
      </c>
      <c r="K117" s="9" t="inlineStr">
        <is>
          <t xml:space="preserve">SLEEP AID</t>
        </is>
      </c>
    </row>
    <row r="118">
      <c r="A118" s="9" t="inlineStr">
        <is>
          <t xml:space="preserve">on list</t>
        </is>
      </c>
      <c r="B118" s="0" t="inlineStr">
        <is>
          <t xml:space="preserve">Zolpidem</t>
        </is>
      </c>
      <c r="C118" s="0" t="inlineStr">
        <is>
          <t xml:space="preserve">Zolpidem</t>
        </is>
      </c>
      <c r="D118" s="0" t="inlineStr">
        <is>
          <t xml:space="preserve">5mg</t>
        </is>
      </c>
      <c r="E118" s="0" t="inlineStr">
        <is>
          <t xml:space="preserve">60</t>
        </is>
      </c>
      <c r="F118" s="3">
        <v>30.0</v>
      </c>
      <c r="G118" s="3">
        <v>611.16</v>
      </c>
      <c r="H118" s="3">
        <f>ROUND(G118*1.1,2)</f>
      </c>
      <c r="I118" s="3">
        <f>'Your formulary'!$B$6</f>
      </c>
      <c r="J118" s="3">
        <f>ROUND((H118*IF(FALSE,'Your formulary'!$B$4,'Your formulary'!$B$3)-F118-'Your formulary'!$B$5-'Your formulary'!$B$6)*'Your formulary'!$B$2,2)</f>
      </c>
      <c r="K118" s="9" t="inlineStr">
        <is>
          <t xml:space="preserve">SLEEP AID</t>
        </is>
      </c>
    </row>
    <row r="119">
      <c r="B119" s="0" t="inlineStr">
        <is>
          <t xml:space="preserve">Zolpidem Tartrate</t>
        </is>
      </c>
      <c r="C119" s="0" t="inlineStr">
        <is>
          <t xml:space="preserve">Ambien</t>
        </is>
      </c>
      <c r="D119" s="0" t="inlineStr">
        <is>
          <t xml:space="preserve">10mg</t>
        </is>
      </c>
      <c r="E119" s="0" t="inlineStr">
        <is>
          <t xml:space="preserve">30</t>
        </is>
      </c>
      <c r="F119" s="3">
        <v>1.99</v>
      </c>
      <c r="G119" s="3">
        <v>138.9</v>
      </c>
      <c r="H119" s="3">
        <f>ROUND(G119*1.1,2)</f>
      </c>
      <c r="I119" s="3">
        <f>'Your formulary'!$B$6</f>
      </c>
      <c r="J119" s="3">
        <f>ROUND((H119*IF(FALSE,'Your formulary'!$B$4,'Your formulary'!$B$3)-F119-'Your formulary'!$B$5-'Your formulary'!$B$6)*'Your formulary'!$B$2,2)</f>
      </c>
      <c r="K119" s="9" t="inlineStr">
        <is>
          <t xml:space="preserve">SLEEP AID</t>
        </is>
      </c>
    </row>
    <row r="120">
      <c r="B120" s="0" t="inlineStr">
        <is>
          <t xml:space="preserve">Zolpidem Tartrate</t>
        </is>
      </c>
      <c r="C120" s="0" t="inlineStr">
        <is>
          <t xml:space="preserve">Ambien</t>
        </is>
      </c>
      <c r="D120" s="0" t="inlineStr">
        <is>
          <t xml:space="preserve">5mg</t>
        </is>
      </c>
      <c r="E120" s="0" t="inlineStr">
        <is>
          <t xml:space="preserve">30</t>
        </is>
      </c>
      <c r="F120" s="3">
        <v>1.79</v>
      </c>
      <c r="G120" s="3">
        <v>138.9</v>
      </c>
      <c r="H120" s="3">
        <f>ROUND(G120*1.1,2)</f>
      </c>
      <c r="I120" s="3">
        <f>'Your formulary'!$B$6</f>
      </c>
      <c r="J120" s="3">
        <f>ROUND((H120*IF(FALSE,'Your formulary'!$B$4,'Your formulary'!$B$3)-F120-'Your formulary'!$B$5-'Your formulary'!$B$6)*'Your formulary'!$B$2,2)</f>
      </c>
      <c r="K120" s="9" t="inlineStr">
        <is>
          <t xml:space="preserve">SLEEP AID</t>
        </is>
      </c>
    </row>
    <row r="121">
      <c r="A121" s="6" t="inlineStr">
        <is>
          <t xml:space="preserve">STOOL SOFTENER</t>
        </is>
      </c>
      <c r="B121" s="6"/>
      <c r="C121" s="6"/>
      <c r="D121" s="6"/>
      <c r="E121" s="6"/>
      <c r="F121" s="6"/>
      <c r="G121" s="6"/>
      <c r="H121" s="6"/>
      <c r="I121" s="6"/>
      <c r="J121" s="6"/>
      <c r="K121" s="6"/>
      <c r="L121" s="6"/>
    </row>
    <row r="122">
      <c r="A122" s="9" t="inlineStr">
        <is>
          <t xml:space="preserve">on list</t>
        </is>
      </c>
      <c r="B122" s="0" t="inlineStr">
        <is>
          <t xml:space="preserve">Docusate</t>
        </is>
      </c>
      <c r="C122" s="0" t="inlineStr">
        <is>
          <t xml:space="preserve">Docusate</t>
        </is>
      </c>
      <c r="D122" s="0" t="inlineStr">
        <is>
          <t xml:space="preserve">100mg</t>
        </is>
      </c>
      <c r="E122" s="0" t="inlineStr">
        <is>
          <t xml:space="preserve">60</t>
        </is>
      </c>
      <c r="F122" s="3">
        <v>0.81</v>
      </c>
      <c r="G122" s="3">
        <v>2.48</v>
      </c>
      <c r="H122" s="3">
        <f>ROUND(G122*1.1,2)</f>
      </c>
      <c r="I122" s="3">
        <f>'Your formulary'!$B$6</f>
      </c>
      <c r="J122" s="3">
        <f>ROUND((H122*IF(FALSE,'Your formulary'!$B$4,'Your formulary'!$B$3)-F122-'Your formulary'!$B$5-'Your formulary'!$B$6)*'Your formulary'!$B$2,2)</f>
      </c>
      <c r="K122" s="9" t="inlineStr">
        <is>
          <t xml:space="preserve">STOOL SOFTENER</t>
        </is>
      </c>
    </row>
    <row r="123">
      <c r="B123" s="0" t="inlineStr">
        <is>
          <t xml:space="preserve">Lactulose 10G/15ml Solution</t>
        </is>
      </c>
      <c r="C123" s="0" t="inlineStr">
        <is>
          <t xml:space="preserve">Chronulac</t>
        </is>
      </c>
      <c r="D123" s="0" t="inlineStr">
        <is>
          <t xml:space="preserve">10g/15ml</t>
        </is>
      </c>
      <c r="E123" s="0" t="inlineStr">
        <is>
          <t xml:space="preserve">473ml</t>
        </is>
      </c>
      <c r="F123" s="3">
        <v>7.99</v>
      </c>
      <c r="G123" s="3">
        <v>34.7</v>
      </c>
      <c r="H123" s="3">
        <f>ROUND(G123*1.1,2)</f>
      </c>
      <c r="I123" s="3">
        <f>'Your formulary'!$B$6</f>
      </c>
      <c r="J123" s="3">
        <f>ROUND((H123*IF(FALSE,'Your formulary'!$B$4,'Your formulary'!$B$3)-F123-'Your formulary'!$B$5-'Your formulary'!$B$6)*'Your formulary'!$B$2,2)</f>
      </c>
      <c r="K123" s="9" t="inlineStr">
        <is>
          <t xml:space="preserve">STOOL SOFTENER</t>
        </is>
      </c>
    </row>
    <row r="124">
      <c r="A124" s="9" t="inlineStr">
        <is>
          <t xml:space="preserve">on list</t>
        </is>
      </c>
      <c r="B124" s="0" t="inlineStr">
        <is>
          <t xml:space="preserve">Laxacin (docusate/senna)</t>
        </is>
      </c>
      <c r="C124" s="0" t="inlineStr">
        <is>
          <t xml:space="preserve">Laxacin</t>
        </is>
      </c>
      <c r="D124" s="0" t="inlineStr">
        <is>
          <t xml:space="preserve">50mg/8.6mg</t>
        </is>
      </c>
      <c r="E124" s="0" t="inlineStr">
        <is>
          <t xml:space="preserve">60</t>
        </is>
      </c>
      <c r="F124" s="3">
        <v>30.0</v>
      </c>
      <c r="G124" s="3">
        <v>130.02</v>
      </c>
      <c r="H124" s="3">
        <f>ROUND(G124*1.1,2)</f>
      </c>
      <c r="I124" s="3">
        <f>'Your formulary'!$B$6</f>
      </c>
      <c r="J124" s="3">
        <f>ROUND((H124*IF(FALSE,'Your formulary'!$B$4,'Your formulary'!$B$3)-F124-'Your formulary'!$B$5-'Your formulary'!$B$6)*'Your formulary'!$B$2,2)</f>
      </c>
      <c r="K124" s="9" t="inlineStr">
        <is>
          <t xml:space="preserve">STOOL SOFTENER</t>
        </is>
      </c>
    </row>
    <row r="125">
      <c r="A125" s="9" t="inlineStr">
        <is>
          <t xml:space="preserve">on list</t>
        </is>
      </c>
      <c r="B125" s="0" t="inlineStr">
        <is>
          <t xml:space="preserve">Lubiprostone (Amitiza)</t>
        </is>
      </c>
      <c r="C125" s="0" t="inlineStr">
        <is>
          <t xml:space="preserve">Lubiprostone</t>
        </is>
      </c>
      <c r="D125" s="0" t="inlineStr">
        <is>
          <t xml:space="preserve">24mcg</t>
        </is>
      </c>
      <c r="E125" s="0" t="inlineStr">
        <is>
          <t xml:space="preserve">60</t>
        </is>
      </c>
      <c r="F125" s="3">
        <v>47.8</v>
      </c>
      <c r="G125" s="3">
        <v>440.84</v>
      </c>
      <c r="H125" s="3">
        <f>ROUND(G125*1.1,2)</f>
      </c>
      <c r="I125" s="3">
        <f>'Your formulary'!$B$6</f>
      </c>
      <c r="J125" s="3">
        <f>ROUND((H125*IF(FALSE,'Your formulary'!$B$4,'Your formulary'!$B$3)-F125-'Your formulary'!$B$5-'Your formulary'!$B$6)*'Your formulary'!$B$2,2)</f>
      </c>
      <c r="K125" s="9" t="inlineStr">
        <is>
          <t xml:space="preserve">STOOL SOFTENER</t>
        </is>
      </c>
    </row>
    <row r="126">
      <c r="B126" s="0" t="inlineStr">
        <is>
          <t xml:space="preserve">Narcosoft Capsule</t>
        </is>
      </c>
      <c r="C126" s="0" t="inlineStr">
        <is>
          <t xml:space="preserve">Narcosoft</t>
        </is>
      </c>
      <c r="E126" s="0" t="inlineStr">
        <is>
          <t xml:space="preserve">60</t>
        </is>
      </c>
      <c r="F126" s="3">
        <v>36.99</v>
      </c>
      <c r="G126" s="3">
        <v>242.05</v>
      </c>
      <c r="H126" s="3">
        <f>ROUND(G126*1.1,2)</f>
      </c>
      <c r="I126" s="3">
        <f>'Your formulary'!$B$6</f>
      </c>
      <c r="J126" s="3">
        <f>ROUND((H126*IF(FALSE,'Your formulary'!$B$4,'Your formulary'!$B$3)-F126-'Your formulary'!$B$5-'Your formulary'!$B$6)*'Your formulary'!$B$2,2)</f>
      </c>
      <c r="K126" s="9" t="inlineStr">
        <is>
          <t xml:space="preserve">STOOL SOFTENER</t>
        </is>
      </c>
    </row>
    <row r="127">
      <c r="B127" s="0" t="inlineStr">
        <is>
          <t xml:space="preserve">Promolaxin 100mg Tab</t>
        </is>
      </c>
      <c r="C127" s="0" t="inlineStr">
        <is>
          <t xml:space="preserve">Promolaxin</t>
        </is>
      </c>
      <c r="D127" s="0" t="inlineStr">
        <is>
          <t xml:space="preserve">100mg</t>
        </is>
      </c>
      <c r="E127" s="0" t="inlineStr">
        <is>
          <t xml:space="preserve">100</t>
        </is>
      </c>
      <c r="F127" s="3">
        <v>0.0</v>
      </c>
      <c r="G127" s="3">
        <v>98.94</v>
      </c>
      <c r="H127" s="3">
        <f>ROUND(G127*1.1,2)</f>
      </c>
      <c r="I127" s="3">
        <f>'Your formulary'!$B$6</f>
      </c>
      <c r="J127" s="3">
        <f>ROUND((H127*IF(FALSE,'Your formulary'!$B$4,'Your formulary'!$B$3)-F127-'Your formulary'!$B$5-'Your formulary'!$B$6)*'Your formulary'!$B$2,2)</f>
      </c>
      <c r="K127" s="9" t="inlineStr">
        <is>
          <t xml:space="preserve">STOOL SOFTENER</t>
        </is>
      </c>
    </row>
    <row r="128">
      <c r="B128" s="0" t="inlineStr">
        <is>
          <t xml:space="preserve">Senna/Docusate Sodium</t>
        </is>
      </c>
      <c r="C128" s="0" t="inlineStr">
        <is>
          <t xml:space="preserve">Laxacin</t>
        </is>
      </c>
      <c r="D128" s="0" t="inlineStr">
        <is>
          <t xml:space="preserve">8.6mg/50mg</t>
        </is>
      </c>
      <c r="E128" s="0" t="inlineStr">
        <is>
          <t xml:space="preserve">100</t>
        </is>
      </c>
      <c r="F128" s="3">
        <v>7.95</v>
      </c>
      <c r="G128" s="3">
        <v>197.0</v>
      </c>
      <c r="H128" s="3">
        <f>ROUND(G128*1.1,2)</f>
      </c>
      <c r="I128" s="3">
        <f>'Your formulary'!$B$6</f>
      </c>
      <c r="J128" s="3">
        <f>ROUND((H128*IF(FALSE,'Your formulary'!$B$4,'Your formulary'!$B$3)-F128-'Your formulary'!$B$5-'Your formulary'!$B$6)*'Your formulary'!$B$2,2)</f>
      </c>
      <c r="K128" s="9" t="inlineStr">
        <is>
          <t xml:space="preserve">STOOL SOFTENER</t>
        </is>
      </c>
    </row>
    <row r="129">
      <c r="A129" s="6" t="inlineStr">
        <is>
          <t xml:space="preserve">TOPICAL ANALGESIC</t>
        </is>
      </c>
      <c r="B129" s="6"/>
      <c r="C129" s="6"/>
      <c r="D129" s="6"/>
      <c r="E129" s="6"/>
      <c r="F129" s="6"/>
      <c r="G129" s="6"/>
      <c r="H129" s="6"/>
      <c r="I129" s="6"/>
      <c r="J129" s="6"/>
      <c r="K129" s="6"/>
      <c r="L129" s="6"/>
    </row>
    <row r="130">
      <c r="B130" s="0" t="inlineStr">
        <is>
          <t xml:space="preserve">Lido Pain Relief Ointment</t>
        </is>
      </c>
      <c r="C130" s="0" t="inlineStr">
        <is>
          <t xml:space="preserve">Lidocaine</t>
        </is>
      </c>
      <c r="D130" s="0" t="inlineStr">
        <is>
          <t xml:space="preserve">5%</t>
        </is>
      </c>
      <c r="E130" s="0" t="inlineStr">
        <is>
          <t xml:space="preserve">35.44 gm</t>
        </is>
      </c>
      <c r="F130" s="3">
        <v>32.95</v>
      </c>
      <c r="G130" s="3">
        <v>380.92</v>
      </c>
      <c r="H130" s="3">
        <f>ROUND(G130*1.1,2)</f>
      </c>
      <c r="I130" s="3">
        <f>'Your formulary'!$B$6</f>
      </c>
      <c r="J130" s="3">
        <f>ROUND((H130*IF(TRUE,'Your formulary'!$B$4,'Your formulary'!$B$3)-F130-'Your formulary'!$B$5-'Your formulary'!$B$6)*'Your formulary'!$B$2,2)</f>
      </c>
      <c r="K130" s="9" t="inlineStr">
        <is>
          <t xml:space="preserve">TOPICAL ANALGESIC</t>
        </is>
      </c>
    </row>
    <row r="131">
      <c r="B131" s="0" t="inlineStr">
        <is>
          <t xml:space="preserve">Lido Pain Relief Ointment</t>
        </is>
      </c>
      <c r="C131" s="0" t="inlineStr">
        <is>
          <t xml:space="preserve">Lidocaine</t>
        </is>
      </c>
      <c r="D131" s="0" t="inlineStr">
        <is>
          <t xml:space="preserve">5%</t>
        </is>
      </c>
      <c r="E131" s="0" t="inlineStr">
        <is>
          <t xml:space="preserve">50 gm</t>
        </is>
      </c>
      <c r="F131" s="3">
        <v>27.99</v>
      </c>
      <c r="G131" s="3">
        <v>380.0</v>
      </c>
      <c r="H131" s="3">
        <f>ROUND(G131*1.1,2)</f>
      </c>
      <c r="I131" s="3">
        <f>'Your formulary'!$B$6</f>
      </c>
      <c r="J131" s="3">
        <f>ROUND((H131*IF(TRUE,'Your formulary'!$B$4,'Your formulary'!$B$3)-F131-'Your formulary'!$B$5-'Your formulary'!$B$6)*'Your formulary'!$B$2,2)</f>
      </c>
      <c r="K131" s="9" t="inlineStr">
        <is>
          <t xml:space="preserve">TOPICAL ANALGESIC</t>
        </is>
      </c>
    </row>
    <row r="132">
      <c r="B132" s="0" t="inlineStr">
        <is>
          <t xml:space="preserve">Lido Patch -Trubexa</t>
        </is>
      </c>
      <c r="C132" s="0" t="inlineStr">
        <is>
          <t xml:space="preserve">Trubrexia Patch</t>
        </is>
      </c>
      <c r="E132" s="0" t="inlineStr">
        <is>
          <t xml:space="preserve">32 Count</t>
        </is>
      </c>
      <c r="F132" s="3">
        <v>180.0</v>
      </c>
      <c r="G132" s="3">
        <v>1595.04</v>
      </c>
      <c r="H132" s="3">
        <f>ROUND(G132*1.1,2)</f>
      </c>
      <c r="I132" s="3">
        <f>'Your formulary'!$B$6</f>
      </c>
      <c r="J132" s="3">
        <f>ROUND((H132*IF(TRUE,'Your formulary'!$B$4,'Your formulary'!$B$3)-F132-'Your formulary'!$B$5-'Your formulary'!$B$6)*'Your formulary'!$B$2,2)</f>
      </c>
      <c r="K132" s="9" t="inlineStr">
        <is>
          <t xml:space="preserve">TOPICAL ANALGESIC</t>
        </is>
      </c>
    </row>
    <row r="133">
      <c r="B133" s="0" t="inlineStr">
        <is>
          <t xml:space="preserve">Lido/Methyl/Menthol Pain Relief Ointment</t>
        </is>
      </c>
      <c r="C133" s="0" t="inlineStr">
        <is>
          <t xml:space="preserve">LidoPro Topical</t>
        </is>
      </c>
      <c r="E133" s="0" t="inlineStr">
        <is>
          <t xml:space="preserve">99gm</t>
        </is>
      </c>
      <c r="F133" s="3">
        <v>23.49</v>
      </c>
      <c r="G133" s="3">
        <v>554.08</v>
      </c>
      <c r="H133" s="3">
        <f>ROUND(G133*1.1,2)</f>
      </c>
      <c r="I133" s="3">
        <f>'Your formulary'!$B$6</f>
      </c>
      <c r="J133" s="3">
        <f>ROUND((H133*IF(TRUE,'Your formulary'!$B$4,'Your formulary'!$B$3)-F133-'Your formulary'!$B$5-'Your formulary'!$B$6)*'Your formulary'!$B$2,2)</f>
      </c>
      <c r="K133" s="9" t="inlineStr">
        <is>
          <t xml:space="preserve">TOPICAL ANALGESIC</t>
        </is>
      </c>
    </row>
    <row r="134">
      <c r="A134" s="9" t="inlineStr">
        <is>
          <t xml:space="preserve">on list</t>
        </is>
      </c>
      <c r="B134" s="0" t="inlineStr">
        <is>
          <t xml:space="preserve">Lidocaine oint</t>
        </is>
      </c>
      <c r="C134" s="0" t="inlineStr">
        <is>
          <t xml:space="preserve">Lidocaine</t>
        </is>
      </c>
      <c r="D134" s="0" t="inlineStr">
        <is>
          <t xml:space="preserve">5%</t>
        </is>
      </c>
      <c r="E134" s="0" t="inlineStr">
        <is>
          <t xml:space="preserve">177.2 grams</t>
        </is>
      </c>
      <c r="F134" s="3">
        <v>74.95</v>
      </c>
      <c r="G134" s="3">
        <v>1741.63</v>
      </c>
      <c r="H134" s="3">
        <f>ROUND(G134*1.1,2)</f>
      </c>
      <c r="I134" s="3">
        <f>'Your formulary'!$B$6</f>
      </c>
      <c r="J134" s="3">
        <f>ROUND((H134*IF(TRUE,'Your formulary'!$B$4,'Your formulary'!$B$3)-F134-'Your formulary'!$B$5-'Your formulary'!$B$6)*'Your formulary'!$B$2,2)</f>
      </c>
      <c r="K134" s="9" t="inlineStr">
        <is>
          <t xml:space="preserve">TOPICAL ANALGESIC</t>
        </is>
      </c>
    </row>
    <row r="135">
      <c r="B135" s="0" t="inlineStr">
        <is>
          <t xml:space="preserve">Lidocaine oint</t>
        </is>
      </c>
      <c r="C135" s="0" t="inlineStr">
        <is>
          <t xml:space="preserve">Lidocaine</t>
        </is>
      </c>
      <c r="D135" s="0" t="inlineStr">
        <is>
          <t xml:space="preserve">5%</t>
        </is>
      </c>
      <c r="E135" s="0" t="inlineStr">
        <is>
          <t xml:space="preserve">35.44 grams</t>
        </is>
      </c>
      <c r="F135" s="3">
        <v>14.95</v>
      </c>
      <c r="G135" s="3">
        <v>348.33</v>
      </c>
      <c r="H135" s="3">
        <f>ROUND(G135*1.1,2)</f>
      </c>
      <c r="I135" s="3">
        <f>'Your formulary'!$B$6</f>
      </c>
      <c r="J135" s="3">
        <f>ROUND((H135*IF(TRUE,'Your formulary'!$B$4,'Your formulary'!$B$3)-F135-'Your formulary'!$B$5-'Your formulary'!$B$6)*'Your formulary'!$B$2,2)</f>
      </c>
      <c r="K135" s="9" t="inlineStr">
        <is>
          <t xml:space="preserve">TOPICAL ANALGESIC</t>
        </is>
      </c>
    </row>
    <row r="136">
      <c r="B136" s="0" t="inlineStr">
        <is>
          <t xml:space="preserve">Lidocaine patch</t>
        </is>
      </c>
      <c r="C136" s="0" t="inlineStr">
        <is>
          <t xml:space="preserve">Lidocaine</t>
        </is>
      </c>
      <c r="D136" s="0" t="inlineStr">
        <is>
          <t xml:space="preserve">5%</t>
        </is>
      </c>
      <c r="E136" s="0" t="inlineStr">
        <is>
          <t xml:space="preserve">30</t>
        </is>
      </c>
      <c r="F136" s="3">
        <v>84.99</v>
      </c>
      <c r="G136" s="3">
        <v>376.77</v>
      </c>
      <c r="H136" s="3">
        <f>ROUND(G136*1.1,2)</f>
      </c>
      <c r="I136" s="3">
        <f>'Your formulary'!$B$6</f>
      </c>
      <c r="J136" s="3">
        <f>ROUND((H136*IF(TRUE,'Your formulary'!$B$4,'Your formulary'!$B$3)-F136-'Your formulary'!$B$5-'Your formulary'!$B$6)*'Your formulary'!$B$2,2)</f>
      </c>
      <c r="K136" s="9" t="inlineStr">
        <is>
          <t xml:space="preserve">TOPICAL ANALGESIC</t>
        </is>
      </c>
    </row>
    <row r="137">
      <c r="B137" s="0" t="inlineStr">
        <is>
          <t xml:space="preserve">Lidocaine patch</t>
        </is>
      </c>
      <c r="C137" s="0" t="inlineStr">
        <is>
          <t xml:space="preserve">Lidocaine</t>
        </is>
      </c>
      <c r="D137" s="0" t="inlineStr">
        <is>
          <t xml:space="preserve">5%</t>
        </is>
      </c>
      <c r="E137" s="0" t="inlineStr">
        <is>
          <t xml:space="preserve">60</t>
        </is>
      </c>
      <c r="F137" s="3">
        <v>169.98</v>
      </c>
      <c r="G137" s="3">
        <v>753.54</v>
      </c>
      <c r="H137" s="3">
        <f>ROUND(G137*1.1,2)</f>
      </c>
      <c r="I137" s="3">
        <f>'Your formulary'!$B$6</f>
      </c>
      <c r="J137" s="3">
        <f>ROUND((H137*IF(TRUE,'Your formulary'!$B$4,'Your formulary'!$B$3)-F137-'Your formulary'!$B$5-'Your formulary'!$B$6)*'Your formulary'!$B$2,2)</f>
      </c>
      <c r="K137" s="9" t="inlineStr">
        <is>
          <t xml:space="preserve">TOPICAL ANALGESIC</t>
        </is>
      </c>
    </row>
    <row r="138">
      <c r="A138" s="9" t="inlineStr">
        <is>
          <t xml:space="preserve">on list</t>
        </is>
      </c>
      <c r="B138" s="0" t="inlineStr">
        <is>
          <t xml:space="preserve">Lidopro Ointment</t>
        </is>
      </c>
      <c r="C138" s="0" t="inlineStr">
        <is>
          <t xml:space="preserve">Lidopro</t>
        </is>
      </c>
      <c r="E138" s="0" t="inlineStr">
        <is>
          <t xml:space="preserve">99 grams</t>
        </is>
      </c>
      <c r="F138" s="3">
        <v>46.99</v>
      </c>
      <c r="G138" s="3">
        <v>609.49</v>
      </c>
      <c r="H138" s="3">
        <f>ROUND(G138*1.1,2)</f>
      </c>
      <c r="I138" s="3">
        <f>'Your formulary'!$B$6</f>
      </c>
      <c r="J138" s="3">
        <f>ROUND((H138*IF(TRUE,'Your formulary'!$B$4,'Your formulary'!$B$3)-F138-'Your formulary'!$B$5-'Your formulary'!$B$6)*'Your formulary'!$B$2,2)</f>
      </c>
      <c r="K138" s="9" t="inlineStr">
        <is>
          <t xml:space="preserve">TOPICAL ANALGESIC</t>
        </is>
      </c>
    </row>
    <row r="139">
      <c r="B139" s="0" t="inlineStr">
        <is>
          <t xml:space="preserve">Lidopro Pain Relief Ointment</t>
        </is>
      </c>
      <c r="C139" s="0" t="inlineStr">
        <is>
          <t xml:space="preserve">Lidopro</t>
        </is>
      </c>
      <c r="D139" s="0" t="inlineStr">
        <is>
          <t xml:space="preserve">0.0325%-10%-27.5%-4.0%</t>
        </is>
      </c>
      <c r="E139" s="0" t="inlineStr">
        <is>
          <t xml:space="preserve">121gm</t>
        </is>
      </c>
      <c r="F139" s="3">
        <v>0.0</v>
      </c>
      <c r="G139" s="3">
        <v>485.98</v>
      </c>
      <c r="H139" s="3">
        <f>ROUND(G139*1.1,2)</f>
      </c>
      <c r="I139" s="3">
        <f>'Your formulary'!$B$6</f>
      </c>
      <c r="J139" s="3">
        <f>ROUND((H139*IF(TRUE,'Your formulary'!$B$4,'Your formulary'!$B$3)-F139-'Your formulary'!$B$5-'Your formulary'!$B$6)*'Your formulary'!$B$2,2)</f>
      </c>
      <c r="K139" s="9" t="inlineStr">
        <is>
          <t xml:space="preserve">TOPICAL ANALGESIC</t>
        </is>
      </c>
    </row>
    <row r="140">
      <c r="B140" s="0" t="inlineStr">
        <is>
          <t xml:space="preserve">Lidopro patch</t>
        </is>
      </c>
      <c r="C140" s="0" t="inlineStr">
        <is>
          <t xml:space="preserve">Lidopro</t>
        </is>
      </c>
      <c r="E140" s="0" t="inlineStr">
        <is>
          <t xml:space="preserve">30</t>
        </is>
      </c>
      <c r="F140" s="3">
        <v>131.98</v>
      </c>
      <c r="G140" s="3">
        <v>1741.82</v>
      </c>
      <c r="H140" s="3">
        <f>ROUND(G140*1.1,2)</f>
      </c>
      <c r="I140" s="3">
        <f>'Your formulary'!$B$6</f>
      </c>
      <c r="J140" s="3">
        <f>ROUND((H140*IF(TRUE,'Your formulary'!$B$4,'Your formulary'!$B$3)-F140-'Your formulary'!$B$5-'Your formulary'!$B$6)*'Your formulary'!$B$2,2)</f>
      </c>
      <c r="K140" s="9" t="inlineStr">
        <is>
          <t xml:space="preserve">TOPICAL ANALGESIC</t>
        </is>
      </c>
    </row>
    <row r="141">
      <c r="A141" s="9" t="inlineStr">
        <is>
          <t xml:space="preserve">on list</t>
        </is>
      </c>
      <c r="B141" s="0" t="inlineStr">
        <is>
          <t xml:space="preserve">Lidopro Patch</t>
        </is>
      </c>
      <c r="C141" s="0" t="inlineStr">
        <is>
          <t xml:space="preserve">Lidopro</t>
        </is>
      </c>
      <c r="D141" s="0" t="inlineStr">
        <is>
          <t xml:space="preserve">4% Lido / 1% Menthol</t>
        </is>
      </c>
      <c r="E141" s="0" t="inlineStr">
        <is>
          <t xml:space="preserve">30</t>
        </is>
      </c>
      <c r="F141" s="3">
        <v>170.0</v>
      </c>
      <c r="G141" s="3">
        <v>1960.24</v>
      </c>
      <c r="H141" s="3">
        <f>ROUND(G141*1.1,2)</f>
      </c>
      <c r="I141" s="3">
        <f>'Your formulary'!$B$6</f>
      </c>
      <c r="J141" s="3">
        <f>ROUND((H141*IF(TRUE,'Your formulary'!$B$4,'Your formulary'!$B$3)-F141-'Your formulary'!$B$5-'Your formulary'!$B$6)*'Your formulary'!$B$2,2)</f>
      </c>
      <c r="K141" s="9" t="inlineStr">
        <is>
          <t xml:space="preserve">TOPICAL ANALGESIC</t>
        </is>
      </c>
    </row>
    <row r="142">
      <c r="A142" s="9" t="inlineStr">
        <is>
          <t xml:space="preserve">on list</t>
        </is>
      </c>
      <c r="B142" s="0" t="inlineStr">
        <is>
          <t xml:space="preserve">Lidopro Patch</t>
        </is>
      </c>
      <c r="C142" s="0" t="inlineStr">
        <is>
          <t xml:space="preserve">Lidopro</t>
        </is>
      </c>
      <c r="D142" s="0" t="inlineStr">
        <is>
          <t xml:space="preserve">4% Lido / 1% Menthol</t>
        </is>
      </c>
      <c r="E142" s="0" t="inlineStr">
        <is>
          <t xml:space="preserve">60</t>
        </is>
      </c>
      <c r="F142" s="3">
        <v>340.0</v>
      </c>
      <c r="G142" s="3">
        <v>3920.49</v>
      </c>
      <c r="H142" s="3">
        <f>ROUND(G142*1.1,2)</f>
      </c>
      <c r="I142" s="3">
        <f>'Your formulary'!$B$6</f>
      </c>
      <c r="J142" s="3">
        <f>ROUND((H142*IF(TRUE,'Your formulary'!$B$4,'Your formulary'!$B$3)-F142-'Your formulary'!$B$5-'Your formulary'!$B$6)*'Your formulary'!$B$2,2)</f>
      </c>
      <c r="K142" s="9" t="inlineStr">
        <is>
          <t xml:space="preserve">TOPICAL ANALGESIC</t>
        </is>
      </c>
    </row>
    <row r="143">
      <c r="B143" s="0" t="inlineStr">
        <is>
          <t xml:space="preserve">Pain Relief Ointment</t>
        </is>
      </c>
      <c r="C143" s="0" t="inlineStr">
        <is>
          <t xml:space="preserve">Xylocaine 5%</t>
        </is>
      </c>
      <c r="D143" s="0" t="inlineStr">
        <is>
          <t xml:space="preserve">5%</t>
        </is>
      </c>
      <c r="E143" s="0" t="inlineStr">
        <is>
          <t xml:space="preserve">35.44 gm</t>
        </is>
      </c>
      <c r="F143" s="3">
        <v>5.99</v>
      </c>
      <c r="G143" s="3">
        <v>316.66</v>
      </c>
      <c r="H143" s="3">
        <f>ROUND(G143*1.1,2)</f>
      </c>
      <c r="I143" s="3">
        <f>'Your formulary'!$B$6</f>
      </c>
      <c r="J143" s="3">
        <f>ROUND((H143*IF(TRUE,'Your formulary'!$B$4,'Your formulary'!$B$3)-F143-'Your formulary'!$B$5-'Your formulary'!$B$6)*'Your formulary'!$B$2,2)</f>
      </c>
      <c r="K143" s="9" t="inlineStr">
        <is>
          <t xml:space="preserve">TOPICAL ANALGESIC</t>
        </is>
      </c>
    </row>
    <row r="144">
      <c r="A144" s="9" t="inlineStr">
        <is>
          <t xml:space="preserve">on list</t>
        </is>
      </c>
      <c r="B144" s="0" t="inlineStr">
        <is>
          <t xml:space="preserve">Zylotrol Gel</t>
        </is>
      </c>
      <c r="C144" s="0" t="inlineStr">
        <is>
          <t xml:space="preserve">Zylotrol</t>
        </is>
      </c>
      <c r="D144" s="0" t="inlineStr">
        <is>
          <t xml:space="preserve">4% Lido / 1% Menthol</t>
        </is>
      </c>
      <c r="E144" s="0" t="inlineStr">
        <is>
          <t xml:space="preserve">102</t>
        </is>
      </c>
      <c r="F144" s="3">
        <v>60.0</v>
      </c>
      <c r="G144" s="3">
        <v>549.31</v>
      </c>
      <c r="H144" s="3">
        <f>ROUND(G144*1.1,2)</f>
      </c>
      <c r="I144" s="3">
        <f>'Your formulary'!$B$6</f>
      </c>
      <c r="J144" s="3">
        <f>ROUND((H144*IF(TRUE,'Your formulary'!$B$4,'Your formulary'!$B$3)-F144-'Your formulary'!$B$5-'Your formulary'!$B$6)*'Your formulary'!$B$2,2)</f>
      </c>
      <c r="K144" s="9" t="inlineStr">
        <is>
          <t xml:space="preserve">TOPICAL ANALGESIC</t>
        </is>
      </c>
    </row>
    <row r="145">
      <c r="A145" s="9" t="inlineStr">
        <is>
          <t xml:space="preserve">on list</t>
        </is>
      </c>
      <c r="B145" s="0" t="inlineStr">
        <is>
          <t xml:space="preserve">Zylotrol Gel</t>
        </is>
      </c>
      <c r="C145" s="0" t="inlineStr">
        <is>
          <t xml:space="preserve">Zylotrol</t>
        </is>
      </c>
      <c r="D145" s="0" t="inlineStr">
        <is>
          <t xml:space="preserve">4% Lido / 1% Menthol</t>
        </is>
      </c>
      <c r="E145" s="0" t="inlineStr">
        <is>
          <t xml:space="preserve">204</t>
        </is>
      </c>
      <c r="F145" s="3">
        <v>120.0</v>
      </c>
      <c r="G145" s="3">
        <v>1098.62</v>
      </c>
      <c r="H145" s="3">
        <f>ROUND(G145*1.1,2)</f>
      </c>
      <c r="I145" s="3">
        <f>'Your formulary'!$B$6</f>
      </c>
      <c r="J145" s="3">
        <f>ROUND((H145*IF(TRUE,'Your formulary'!$B$4,'Your formulary'!$B$3)-F145-'Your formulary'!$B$5-'Your formulary'!$B$6)*'Your formulary'!$B$2,2)</f>
      </c>
      <c r="K145" s="9" t="inlineStr">
        <is>
          <t xml:space="preserve">TOPICAL ANALGESIC</t>
        </is>
      </c>
    </row>
    <row r="146">
      <c r="A146" s="9" t="inlineStr">
        <is>
          <t xml:space="preserve">on list</t>
        </is>
      </c>
      <c r="B146" s="0" t="inlineStr">
        <is>
          <t xml:space="preserve">Zylotrol Patch</t>
        </is>
      </c>
      <c r="C146" s="0" t="inlineStr">
        <is>
          <t xml:space="preserve">Zylotrol</t>
        </is>
      </c>
      <c r="D146" s="0" t="inlineStr">
        <is>
          <t xml:space="preserve">4% Lido / 1% Menthol</t>
        </is>
      </c>
      <c r="E146" s="0" t="inlineStr">
        <is>
          <t xml:space="preserve">30</t>
        </is>
      </c>
      <c r="F146" s="3">
        <v>170.0</v>
      </c>
      <c r="G146" s="3">
        <v>1756.33</v>
      </c>
      <c r="H146" s="3">
        <f>ROUND(G146*1.1,2)</f>
      </c>
      <c r="I146" s="3">
        <f>'Your formulary'!$B$6</f>
      </c>
      <c r="J146" s="3">
        <f>ROUND((H146*IF(TRUE,'Your formulary'!$B$4,'Your formulary'!$B$3)-F146-'Your formulary'!$B$5-'Your formulary'!$B$6)*'Your formulary'!$B$2,2)</f>
      </c>
      <c r="K146" s="9" t="inlineStr">
        <is>
          <t xml:space="preserve">TOPICAL ANALGESIC</t>
        </is>
      </c>
    </row>
    <row r="147">
      <c r="A147" s="9" t="inlineStr">
        <is>
          <t xml:space="preserve">on list</t>
        </is>
      </c>
      <c r="B147" s="0" t="inlineStr">
        <is>
          <t xml:space="preserve">Zylotrol Patch</t>
        </is>
      </c>
      <c r="C147" s="0" t="inlineStr">
        <is>
          <t xml:space="preserve">Zylotrol</t>
        </is>
      </c>
      <c r="D147" s="0" t="inlineStr">
        <is>
          <t xml:space="preserve">4% Lido / 1% Menthol</t>
        </is>
      </c>
      <c r="E147" s="0" t="inlineStr">
        <is>
          <t xml:space="preserve">60</t>
        </is>
      </c>
      <c r="F147" s="3">
        <v>340.0</v>
      </c>
      <c r="G147" s="3">
        <v>3512.65</v>
      </c>
      <c r="H147" s="3">
        <f>ROUND(G147*1.1,2)</f>
      </c>
      <c r="I147" s="3">
        <f>'Your formulary'!$B$6</f>
      </c>
      <c r="J147" s="3">
        <f>ROUND((H147*IF(TRUE,'Your formulary'!$B$4,'Your formulary'!$B$3)-F147-'Your formulary'!$B$5-'Your formulary'!$B$6)*'Your formulary'!$B$2,2)</f>
      </c>
      <c r="K147" s="9" t="inlineStr">
        <is>
          <t xml:space="preserve">TOPICAL ANALGESIC</t>
        </is>
      </c>
    </row>
    <row r="148">
      <c r="A148" s="6" t="inlineStr">
        <is>
          <t xml:space="preserve">TOPICAL ANTI INFLAMMATORY</t>
        </is>
      </c>
      <c r="B148" s="6"/>
      <c r="C148" s="6"/>
      <c r="D148" s="6"/>
      <c r="E148" s="6"/>
      <c r="F148" s="6"/>
      <c r="G148" s="6"/>
      <c r="H148" s="6"/>
      <c r="I148" s="6"/>
      <c r="J148" s="6"/>
      <c r="K148" s="6"/>
      <c r="L148" s="6"/>
    </row>
    <row r="149">
      <c r="B149" s="0" t="inlineStr">
        <is>
          <t xml:space="preserve">Diclofenac 3%</t>
        </is>
      </c>
      <c r="C149" s="0" t="inlineStr">
        <is>
          <t xml:space="preserve">Diclofenac 3%</t>
        </is>
      </c>
      <c r="D149" s="0" t="inlineStr">
        <is>
          <t xml:space="preserve">3%</t>
        </is>
      </c>
      <c r="E149" s="0" t="inlineStr">
        <is>
          <t xml:space="preserve">100 ml</t>
        </is>
      </c>
      <c r="F149" s="3">
        <v>36.95</v>
      </c>
      <c r="G149" s="3">
        <v>1179.46</v>
      </c>
      <c r="H149" s="3">
        <f>ROUND(G149*1.1,2)</f>
      </c>
      <c r="I149" s="3">
        <f>'Your formulary'!$B$6</f>
      </c>
      <c r="J149" s="3">
        <f>ROUND((H149*IF(TRUE,'Your formulary'!$B$4,'Your formulary'!$B$3)-F149-'Your formulary'!$B$5-'Your formulary'!$B$6)*'Your formulary'!$B$2,2)</f>
      </c>
      <c r="K149" s="9" t="inlineStr">
        <is>
          <t xml:space="preserve">TOPICAL ANTI INFLAMMATORY</t>
        </is>
      </c>
    </row>
    <row r="150">
      <c r="B150" s="0" t="inlineStr">
        <is>
          <t xml:space="preserve">Diclofenac Gel</t>
        </is>
      </c>
      <c r="C150" s="0" t="inlineStr">
        <is>
          <t xml:space="preserve">Diclofenac</t>
        </is>
      </c>
      <c r="D150" s="0" t="inlineStr">
        <is>
          <t xml:space="preserve">3%</t>
        </is>
      </c>
      <c r="E150" s="0" t="inlineStr">
        <is>
          <t xml:space="preserve">200g</t>
        </is>
      </c>
      <c r="F150" s="3">
        <v>139.98</v>
      </c>
      <c r="G150" s="3">
        <v>2594.81</v>
      </c>
      <c r="H150" s="3">
        <f>ROUND(G150*1.1,2)</f>
      </c>
      <c r="I150" s="3">
        <f>'Your formulary'!$B$6</f>
      </c>
      <c r="J150" s="3">
        <f>ROUND((H150*IF(TRUE,'Your formulary'!$B$4,'Your formulary'!$B$3)-F150-'Your formulary'!$B$5-'Your formulary'!$B$6)*'Your formulary'!$B$2,2)</f>
      </c>
      <c r="K150" s="9" t="inlineStr">
        <is>
          <t xml:space="preserve">TOPICAL ANTI INFLAMMATORY</t>
        </is>
      </c>
    </row>
    <row r="151">
      <c r="B151" s="0" t="inlineStr">
        <is>
          <t xml:space="preserve">Diclofenac Gel</t>
        </is>
      </c>
      <c r="C151" s="0" t="inlineStr">
        <is>
          <t xml:space="preserve">Diclofenac</t>
        </is>
      </c>
      <c r="D151" s="0" t="inlineStr">
        <is>
          <t xml:space="preserve">1%</t>
        </is>
      </c>
      <c r="E151" s="0" t="inlineStr">
        <is>
          <t xml:space="preserve">200g</t>
        </is>
      </c>
      <c r="F151" s="3">
        <v>89.0</v>
      </c>
      <c r="G151" s="3">
        <v>534.09</v>
      </c>
      <c r="H151" s="3">
        <f>ROUND(G151*1.1,2)</f>
      </c>
      <c r="I151" s="3">
        <f>'Your formulary'!$B$6</f>
      </c>
      <c r="J151" s="3">
        <f>ROUND((H151*IF(TRUE,'Your formulary'!$B$4,'Your formulary'!$B$3)-F151-'Your formulary'!$B$5-'Your formulary'!$B$6)*'Your formulary'!$B$2,2)</f>
      </c>
      <c r="K151" s="9" t="inlineStr">
        <is>
          <t xml:space="preserve">TOPICAL ANTI INFLAMMATORY</t>
        </is>
      </c>
    </row>
    <row r="152">
      <c r="B152" s="0" t="inlineStr">
        <is>
          <t xml:space="preserve">Diclofenac Solution</t>
        </is>
      </c>
      <c r="C152" s="0" t="inlineStr">
        <is>
          <t xml:space="preserve">Diclofenac</t>
        </is>
      </c>
      <c r="D152" s="0" t="inlineStr">
        <is>
          <t xml:space="preserve">2%</t>
        </is>
      </c>
      <c r="E152" s="0" t="inlineStr">
        <is>
          <t xml:space="preserve">112g</t>
        </is>
      </c>
      <c r="F152" s="3">
        <v>120.0</v>
      </c>
      <c r="G152" s="3">
        <v>2955.02</v>
      </c>
      <c r="H152" s="3">
        <f>ROUND(G152*1.1,2)</f>
      </c>
      <c r="I152" s="3">
        <f>'Your formulary'!$B$6</f>
      </c>
      <c r="J152" s="3">
        <f>ROUND((H152*IF(TRUE,'Your formulary'!$B$4,'Your formulary'!$B$3)-F152-'Your formulary'!$B$5-'Your formulary'!$B$6)*'Your formulary'!$B$2,2)</f>
      </c>
      <c r="K152" s="9" t="inlineStr">
        <is>
          <t xml:space="preserve">TOPICAL ANTI INFLAMMATORY</t>
        </is>
      </c>
    </row>
    <row r="153">
      <c r="B153" s="0" t="inlineStr">
        <is>
          <t xml:space="preserve">Diclofenac Solution</t>
        </is>
      </c>
      <c r="C153" s="0" t="inlineStr">
        <is>
          <t xml:space="preserve">Diclofenac</t>
        </is>
      </c>
      <c r="D153" s="0" t="inlineStr">
        <is>
          <t xml:space="preserve">1.5%</t>
        </is>
      </c>
      <c r="E153" s="0" t="inlineStr">
        <is>
          <t xml:space="preserve">150ML</t>
        </is>
      </c>
      <c r="F153" s="3">
        <v>164.99</v>
      </c>
      <c r="G153" s="3">
        <v>1750.84</v>
      </c>
      <c r="H153" s="3">
        <f>ROUND(G153*1.1,2)</f>
      </c>
      <c r="I153" s="3">
        <f>'Your formulary'!$B$6</f>
      </c>
      <c r="J153" s="3">
        <f>ROUND((H153*IF(TRUE,'Your formulary'!$B$4,'Your formulary'!$B$3)-F153-'Your formulary'!$B$5-'Your formulary'!$B$6)*'Your formulary'!$B$2,2)</f>
      </c>
      <c r="K153" s="9" t="inlineStr">
        <is>
          <t xml:space="preserve">TOPICAL ANTI INFLAMMATORY</t>
        </is>
      </c>
    </row>
    <row r="154">
      <c r="B154" s="0" t="inlineStr">
        <is>
          <t xml:space="preserve">Diclofenac Solution</t>
        </is>
      </c>
      <c r="C154" s="0" t="inlineStr">
        <is>
          <t xml:space="preserve">Diclofenac</t>
        </is>
      </c>
      <c r="D154" s="0" t="inlineStr">
        <is>
          <t xml:space="preserve">1.5%</t>
        </is>
      </c>
      <c r="E154" s="0" t="inlineStr">
        <is>
          <t xml:space="preserve">300ML</t>
        </is>
      </c>
      <c r="F154" s="3">
        <v>329.98</v>
      </c>
      <c r="G154" s="3">
        <v>3501.67</v>
      </c>
      <c r="H154" s="3">
        <f>ROUND(G154*1.1,2)</f>
      </c>
      <c r="I154" s="3">
        <f>'Your formulary'!$B$6</f>
      </c>
      <c r="J154" s="3">
        <f>ROUND((H154*IF(TRUE,'Your formulary'!$B$4,'Your formulary'!$B$3)-F154-'Your formulary'!$B$5-'Your formulary'!$B$6)*'Your formulary'!$B$2,2)</f>
      </c>
      <c r="K154" s="9" t="inlineStr">
        <is>
          <t xml:space="preserve">TOPICAL ANTI INFLAMMATORY</t>
        </is>
      </c>
    </row>
  </sheetData>
</worksheet>
</file>